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变量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<sst xmlns="http://schemas.openxmlformats.org/spreadsheetml/2006/main" count="269" uniqueCount="124">
  <si>
    <t>year</t>
  </si>
  <si>
    <t>city</t>
  </si>
  <si>
    <t>inno</t>
  </si>
  <si>
    <t>gdp</t>
  </si>
  <si>
    <t>p_gdp</t>
  </si>
  <si>
    <t>open</t>
  </si>
  <si>
    <t>exp_tech</t>
  </si>
  <si>
    <t>fis</t>
  </si>
  <si>
    <t>change_mech</t>
  </si>
  <si>
    <t>employed</t>
  </si>
  <si>
    <t>engel</t>
  </si>
  <si>
    <t>price_housing</t>
  </si>
  <si>
    <t>wage_avg</t>
  </si>
  <si>
    <t>cost_living</t>
  </si>
  <si>
    <t>exp_edu</t>
  </si>
  <si>
    <t>schooling</t>
  </si>
  <si>
    <t>pro_avg</t>
  </si>
  <si>
    <t>situa_research</t>
  </si>
  <si>
    <t>entp_leading</t>
  </si>
  <si>
    <t>area</t>
  </si>
  <si>
    <t>struc_indust</t>
  </si>
  <si>
    <t>北京</t>
  </si>
  <si>
    <t>上海</t>
  </si>
  <si>
    <t>南京</t>
  </si>
  <si>
    <t>苏州</t>
  </si>
  <si>
    <t>杭州</t>
  </si>
  <si>
    <t>宁波</t>
  </si>
  <si>
    <t>合肥</t>
  </si>
  <si>
    <t>武汉</t>
  </si>
  <si>
    <t>长沙</t>
  </si>
  <si>
    <t>广州</t>
  </si>
  <si>
    <t>深圳</t>
  </si>
  <si>
    <t>重庆</t>
  </si>
  <si>
    <t>成都</t>
  </si>
  <si>
    <t>变量类别</t>
  </si>
  <si>
    <t>变量</t>
  </si>
  <si>
    <t>变量含义</t>
  </si>
  <si>
    <t>变量具体测度</t>
  </si>
  <si>
    <t>被解释变量</t>
  </si>
  <si>
    <t>Inno</t>
  </si>
  <si>
    <t>个</t>
  </si>
  <si>
    <t>城市创新活力</t>
  </si>
  <si>
    <t>城市当年专利授权数</t>
  </si>
  <si>
    <t>数据来源</t>
  </si>
  <si>
    <t>解释变量</t>
  </si>
  <si>
    <t>GDP</t>
  </si>
  <si>
    <t>亿元</t>
  </si>
  <si>
    <t>地区生产总值</t>
  </si>
  <si>
    <t>分多维度：经济、社会、环境、教育（至少五个维度）</t>
  </si>
  <si>
    <t>P_GDP</t>
  </si>
  <si>
    <t>万元</t>
  </si>
  <si>
    <t>人均生产总值</t>
  </si>
  <si>
    <t>人均地区生产总值</t>
  </si>
  <si>
    <t>政策的数量（高层次人才、院士数量</t>
  </si>
  <si>
    <t>Policy</t>
  </si>
  <si>
    <t>政策优惠？</t>
  </si>
  <si>
    <t>交通、博士数量</t>
  </si>
  <si>
    <t>Open</t>
  </si>
  <si>
    <t>%</t>
  </si>
  <si>
    <t>对外开放程度</t>
  </si>
  <si>
    <t>当年实际使用外商投资金额/地区生产总值</t>
  </si>
  <si>
    <t>数据进行可视化分析</t>
  </si>
  <si>
    <t>Exp_tech</t>
  </si>
  <si>
    <t>地方科技支出</t>
  </si>
  <si>
    <t>科学技术支出/地方财政一般预算内支出</t>
  </si>
  <si>
    <t>Fis</t>
  </si>
  <si>
    <t>地区财政分权</t>
  </si>
  <si>
    <t>地方财政一般预算内收入/地区生产总值</t>
  </si>
  <si>
    <t>Change_mech</t>
  </si>
  <si>
    <t>万人</t>
  </si>
  <si>
    <t>人口机械增长</t>
  </si>
  <si>
    <t>地区人口机械变动人数</t>
  </si>
  <si>
    <t>创新指数预测，通过预测模型来分析影响程度。可解释分析的过程</t>
  </si>
  <si>
    <t>从业人口</t>
  </si>
  <si>
    <t>地区就业人数</t>
  </si>
  <si>
    <t>最近十年2013-2023</t>
  </si>
  <si>
    <t>Engel</t>
  </si>
  <si>
    <t>幸福度</t>
  </si>
  <si>
    <t>地区城镇居民家庭恩格尔系数</t>
  </si>
  <si>
    <t>Price_housing</t>
  </si>
  <si>
    <t>元/平方米</t>
  </si>
  <si>
    <t>房价</t>
  </si>
  <si>
    <t>住宅商品房平均销售价格</t>
  </si>
  <si>
    <t>Wage_avg</t>
  </si>
  <si>
    <t>元</t>
  </si>
  <si>
    <t>平均工资</t>
  </si>
  <si>
    <t>城镇非私营单位在岗职工年平均工资</t>
  </si>
  <si>
    <t>Cost_living</t>
  </si>
  <si>
    <t>家庭生活成本</t>
  </si>
  <si>
    <t>城镇居民人均消费支出/城镇居民人均可支配收入</t>
  </si>
  <si>
    <t>Policy_human</t>
  </si>
  <si>
    <t>人才政策？</t>
  </si>
  <si>
    <t>Exp_edu</t>
  </si>
  <si>
    <t>地方教育支出</t>
  </si>
  <si>
    <t>教育支出/地方财政一般预算内支出</t>
  </si>
  <si>
    <t>Schooling</t>
  </si>
  <si>
    <t>受教育程度</t>
  </si>
  <si>
    <t>地区普通本专科在校学生人数</t>
  </si>
  <si>
    <t>(单独一个表)</t>
  </si>
  <si>
    <t>Flow_gra</t>
  </si>
  <si>
    <t>高校毕业生流向</t>
  </si>
  <si>
    <t>地区高校毕业生就业省内外占比</t>
  </si>
  <si>
    <t>Pro_avg</t>
  </si>
  <si>
    <t>亿元/个</t>
  </si>
  <si>
    <t>平均工业产值</t>
  </si>
  <si>
    <t>规模以上工业产值/规模以上工业企业数</t>
  </si>
  <si>
    <t>Situa_research</t>
  </si>
  <si>
    <t>万人年</t>
  </si>
  <si>
    <t>工业科研情况</t>
  </si>
  <si>
    <t>规模以上工业企业R&amp;D人员折合全时当量</t>
  </si>
  <si>
    <t>Entp_leading</t>
  </si>
  <si>
    <t>领军企业占比</t>
  </si>
  <si>
    <t>地区全国500强企业占比</t>
  </si>
  <si>
    <t>Area</t>
  </si>
  <si>
    <t>平方千米</t>
  </si>
  <si>
    <t>城市规模</t>
  </si>
  <si>
    <t>城市面积</t>
  </si>
  <si>
    <t>Struc_indust</t>
  </si>
  <si>
    <t>产业贡献率</t>
  </si>
  <si>
    <t>地区第二三产业增加值增量/GDP值增量</t>
  </si>
  <si>
    <t>来源文献</t>
  </si>
  <si>
    <t>经济</t>
  </si>
  <si>
    <t>缺失值处理</t>
  </si>
  <si>
    <t>Entp_leading：将该城市已有数据取均值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</si>
</sst>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0.000_ "/>
    <numFmt numFmtId="179" formatCode="0.00_);[Red]\(0.00\)"/>
  </numFmts>
  <fonts count="27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333333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176" fontId="0" fillId="0" borderId="0" xfId="0" applyNumberFormat="1" applyFill="1" applyAlignment="1">
      <alignment horizontal="center"/>
    </xf>
    <xf numFmtId="177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178" fontId="5" fillId="0" borderId="0" xfId="0" applyNumberFormat="1" applyFont="1" applyFill="1" applyAlignment="1">
      <alignment horizontal="center" vertical="center"/>
    </xf>
    <xf numFmtId="177" fontId="5" fillId="0" borderId="0" xfId="0" applyNumberFormat="1" applyFont="1" applyFill="1" applyAlignment="1">
      <alignment horizontal="center" vertical="center"/>
    </xf>
    <xf numFmtId="0" fontId="2" fillId="0" borderId="0" xfId="0" applyFont="1" applyFill="1">
      <alignment vertical="center"/>
    </xf>
    <xf numFmtId="178" fontId="2" fillId="0" borderId="0" xfId="0" applyNumberFormat="1" applyFont="1" applyFill="1" applyAlignment="1">
      <alignment horizontal="center" vertical="center"/>
    </xf>
    <xf numFmtId="0" fontId="2" fillId="2" borderId="0" xfId="0" applyFont="1" applyFill="1">
      <alignment vertical="center"/>
    </xf>
    <xf numFmtId="179" fontId="5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177" fontId="2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176" fontId="6" fillId="0" borderId="0" xfId="0" applyNumberFormat="1" applyFont="1" applyFill="1" applyAlignment="1">
      <alignment horizontal="center" vertical="center"/>
    </xf>
    <xf numFmtId="178" fontId="0" fillId="0" borderId="0" xfId="0" applyNumberFormat="1" applyFill="1" applyAlignment="1">
      <alignment horizontal="center"/>
    </xf>
    <xf numFmtId="0" fontId="0" fillId="2" borderId="0" xfId="0" applyNumberForma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11"/>
  <sheetViews>
    <sheetView tabSelected="1" workbookViewId="0">
      <pane xSplit="2" ySplit="1" topLeftCell="C4" activePane="bottomRight" state="frozen"/>
      <selection/>
      <selection pane="topRight"/>
      <selection pane="bottomLeft"/>
      <selection pane="bottomRight" activeCell="A144" sqref="$A144:$XFD144"/>
    </sheetView>
  </sheetViews>
  <sheetFormatPr defaultColWidth="9" defaultRowHeight="14"/>
  <cols>
    <col min="1" max="1" width="6.26363636363636" style="6" customWidth="1"/>
    <col min="2" max="2" width="5.92727272727273" style="6" customWidth="1"/>
    <col min="3" max="3" width="16.8" style="7" customWidth="1"/>
    <col min="4" max="4" width="16.9272727272727" style="7" customWidth="1"/>
    <col min="5" max="5" width="25.2" style="6" customWidth="1"/>
    <col min="6" max="6" width="11.2636363636364" style="8" customWidth="1"/>
    <col min="7" max="7" width="12.6" style="9" customWidth="1"/>
    <col min="8" max="8" width="12.6" style="9"/>
    <col min="9" max="9" width="20.0636363636364" style="9" customWidth="1"/>
    <col min="10" max="10" width="15.8636363636364" style="9" customWidth="1"/>
    <col min="11" max="11" width="12.6272727272727" style="9"/>
    <col min="12" max="12" width="34.4" style="9" customWidth="1"/>
    <col min="13" max="13" width="14.1363636363636" style="9" customWidth="1"/>
    <col min="14" max="14" width="16" style="9" customWidth="1"/>
    <col min="15" max="15" width="13.7272727272727" style="9" customWidth="1"/>
    <col min="16" max="16" width="17.7272727272727" style="8" customWidth="1"/>
    <col min="17" max="17" width="19.2" style="10" customWidth="1"/>
    <col min="18" max="18" width="29.6" style="9" customWidth="1"/>
    <col min="19" max="19" width="18.5272727272727" style="9" customWidth="1"/>
    <col min="20" max="20" width="11.4636363636364" style="9"/>
    <col min="21" max="21" width="19.1363636363636" style="8" customWidth="1"/>
    <col min="22" max="16384" width="9" style="9" hidden="1" customWidth="1"/>
  </cols>
  <sheetData>
    <row r="1" ht="29.75" customHeight="1" spans="1:21">
      <c r="A1" s="11" t="s">
        <v>0</v>
      </c>
      <c r="B1" s="11" t="s">
        <v>1</v>
      </c>
      <c r="C1" s="12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29" t="s">
        <v>20</v>
      </c>
    </row>
    <row r="2" ht="15" spans="1:21">
      <c r="A2" s="14">
        <v>2013</v>
      </c>
      <c r="B2" s="14" t="s">
        <v>21</v>
      </c>
      <c r="C2" s="15">
        <v>62671.0000000019</v>
      </c>
      <c r="D2" s="9">
        <v>21134.6</v>
      </c>
      <c r="E2" s="9">
        <v>100569</v>
      </c>
      <c r="F2" s="9">
        <v>2.01</v>
      </c>
      <c r="G2" s="9">
        <v>5.62264295606254</v>
      </c>
      <c r="H2" s="9">
        <v>19.7479961768853</v>
      </c>
      <c r="I2" s="9">
        <v>10.97</v>
      </c>
      <c r="J2" s="9">
        <v>1137.2</v>
      </c>
      <c r="K2" s="9">
        <v>23.8</v>
      </c>
      <c r="L2" s="9">
        <v>17854</v>
      </c>
      <c r="M2" s="9">
        <v>93997</v>
      </c>
      <c r="N2" s="9">
        <v>70.9810609460551</v>
      </c>
      <c r="O2" s="9">
        <v>16.32</v>
      </c>
      <c r="P2" s="9">
        <v>59.8904</v>
      </c>
      <c r="Q2" s="9">
        <v>4.770915</v>
      </c>
      <c r="R2" s="9">
        <v>5.8</v>
      </c>
      <c r="S2" s="9">
        <v>19.36</v>
      </c>
      <c r="T2" s="9">
        <v>16410.54</v>
      </c>
      <c r="U2" s="8">
        <v>99.32</v>
      </c>
    </row>
    <row r="3" ht="15" spans="1:21">
      <c r="A3" s="14">
        <v>2014</v>
      </c>
      <c r="B3" s="14" t="s">
        <v>21</v>
      </c>
      <c r="C3" s="15">
        <v>74660.9999999988</v>
      </c>
      <c r="D3" s="9">
        <v>22926</v>
      </c>
      <c r="E3" s="9">
        <v>106732</v>
      </c>
      <c r="F3" s="9">
        <v>2.19</v>
      </c>
      <c r="G3" s="9">
        <v>6.2481904757695</v>
      </c>
      <c r="H3" s="9">
        <v>19.735976620431</v>
      </c>
      <c r="I3" s="9">
        <v>7.47</v>
      </c>
      <c r="J3" s="9">
        <v>1141.8</v>
      </c>
      <c r="K3" s="9">
        <v>23.7</v>
      </c>
      <c r="L3" s="9">
        <v>18499</v>
      </c>
      <c r="M3" s="9">
        <v>103400</v>
      </c>
      <c r="N3" s="9">
        <v>69.4737492788263</v>
      </c>
      <c r="O3" s="9">
        <v>16.4</v>
      </c>
      <c r="P3" s="9">
        <v>60.4578</v>
      </c>
      <c r="Q3" s="9">
        <v>5.006213</v>
      </c>
      <c r="R3" s="9">
        <v>5.77</v>
      </c>
      <c r="S3" s="9">
        <v>19.36</v>
      </c>
      <c r="T3" s="9">
        <v>16410.54</v>
      </c>
      <c r="U3" s="30">
        <v>100.039075583343</v>
      </c>
    </row>
    <row r="4" ht="15" spans="1:21">
      <c r="A4" s="14">
        <v>2015</v>
      </c>
      <c r="B4" s="14" t="s">
        <v>21</v>
      </c>
      <c r="C4" s="15">
        <v>94030.9999999974</v>
      </c>
      <c r="D4" s="9">
        <v>24779.1</v>
      </c>
      <c r="E4" s="9">
        <v>113692</v>
      </c>
      <c r="F4" s="9">
        <v>3.2</v>
      </c>
      <c r="G4" s="9">
        <v>5.01594715652613</v>
      </c>
      <c r="H4" s="9">
        <v>23.1554011243346</v>
      </c>
      <c r="I4" s="9">
        <v>7.55</v>
      </c>
      <c r="J4" s="9">
        <v>1164.4</v>
      </c>
      <c r="K4" s="9">
        <v>22.1</v>
      </c>
      <c r="L4" s="9">
        <v>22300</v>
      </c>
      <c r="M4" s="9">
        <v>113073</v>
      </c>
      <c r="N4" s="9">
        <v>69.3202671257496</v>
      </c>
      <c r="O4" s="9">
        <v>14.91</v>
      </c>
      <c r="P4" s="9">
        <v>60.3557</v>
      </c>
      <c r="Q4" s="9">
        <v>4.918151</v>
      </c>
      <c r="R4" s="9">
        <v>5.08</v>
      </c>
      <c r="S4" s="9">
        <v>19.36</v>
      </c>
      <c r="T4" s="9">
        <v>16410.54</v>
      </c>
      <c r="U4" s="30">
        <v>101.009119853219</v>
      </c>
    </row>
    <row r="5" ht="15" spans="1:21">
      <c r="A5" s="14">
        <v>2016</v>
      </c>
      <c r="B5" s="14" t="s">
        <v>21</v>
      </c>
      <c r="C5" s="15">
        <v>102323.000000001</v>
      </c>
      <c r="D5" s="9">
        <v>27041.2</v>
      </c>
      <c r="E5" s="9">
        <v>123391</v>
      </c>
      <c r="F5" s="9">
        <v>3.09</v>
      </c>
      <c r="G5" s="9">
        <v>4.46059402787988</v>
      </c>
      <c r="H5" s="9">
        <v>23.6926245876662</v>
      </c>
      <c r="I5" s="9">
        <v>6.1</v>
      </c>
      <c r="J5" s="9">
        <v>1187.6</v>
      </c>
      <c r="K5" s="9">
        <v>21.1</v>
      </c>
      <c r="L5" s="9">
        <v>28489</v>
      </c>
      <c r="M5" s="9">
        <v>122749</v>
      </c>
      <c r="N5" s="9">
        <v>66.7935399388913</v>
      </c>
      <c r="O5" s="9">
        <v>13.85</v>
      </c>
      <c r="P5" s="9">
        <v>59.9188</v>
      </c>
      <c r="Q5" s="9">
        <v>5.415359</v>
      </c>
      <c r="R5" s="9">
        <v>5.11</v>
      </c>
      <c r="S5" s="9">
        <v>19.36</v>
      </c>
      <c r="T5" s="9">
        <v>16410.54</v>
      </c>
      <c r="U5" s="30">
        <v>100.473011803192</v>
      </c>
    </row>
    <row r="6" ht="15" spans="1:21">
      <c r="A6" s="14">
        <v>2017</v>
      </c>
      <c r="B6" s="14" t="s">
        <v>21</v>
      </c>
      <c r="C6" s="15">
        <v>106947.999999995</v>
      </c>
      <c r="D6" s="9">
        <v>29883</v>
      </c>
      <c r="E6" s="9">
        <v>136172</v>
      </c>
      <c r="F6" s="9">
        <v>5.26</v>
      </c>
      <c r="G6" s="9">
        <v>5.30087786265135</v>
      </c>
      <c r="H6" s="9">
        <v>22.837499581702</v>
      </c>
      <c r="I6" s="9">
        <v>4.11</v>
      </c>
      <c r="J6" s="9">
        <v>1191.3</v>
      </c>
      <c r="K6" s="9">
        <v>19.8</v>
      </c>
      <c r="L6" s="9">
        <v>34117</v>
      </c>
      <c r="M6" s="9">
        <v>134994</v>
      </c>
      <c r="N6" s="9">
        <v>64.6508348556228</v>
      </c>
      <c r="O6" s="9">
        <v>14.13</v>
      </c>
      <c r="P6" s="9">
        <v>59.2878</v>
      </c>
      <c r="Q6" s="9">
        <v>5.849923</v>
      </c>
      <c r="R6" s="9">
        <v>7.34</v>
      </c>
      <c r="S6" s="9">
        <v>19.36</v>
      </c>
      <c r="T6" s="9">
        <v>16410.54</v>
      </c>
      <c r="U6" s="30">
        <v>100.274473924977</v>
      </c>
    </row>
    <row r="7" ht="15" spans="1:21">
      <c r="A7" s="14">
        <v>2018</v>
      </c>
      <c r="B7" s="14" t="s">
        <v>21</v>
      </c>
      <c r="C7" s="15">
        <v>123496.000000003</v>
      </c>
      <c r="D7" s="9">
        <v>33106</v>
      </c>
      <c r="E7" s="9">
        <v>150962</v>
      </c>
      <c r="F7" s="9">
        <v>3.35</v>
      </c>
      <c r="G7" s="9">
        <v>5.69997978967882</v>
      </c>
      <c r="H7" s="9">
        <v>22.5682051591856</v>
      </c>
      <c r="I7" s="9">
        <v>11.05</v>
      </c>
      <c r="J7" s="9">
        <v>1189.6</v>
      </c>
      <c r="K7" s="9">
        <v>20</v>
      </c>
      <c r="L7" s="9">
        <v>37420.19</v>
      </c>
      <c r="M7" s="9">
        <v>149843</v>
      </c>
      <c r="N7" s="9">
        <v>63.1357552581262</v>
      </c>
      <c r="O7" s="9">
        <v>13.73</v>
      </c>
      <c r="P7" s="9">
        <v>59.4933</v>
      </c>
      <c r="Q7" s="9">
        <v>6.328507</v>
      </c>
      <c r="R7" s="9">
        <v>4.7</v>
      </c>
      <c r="S7" s="9">
        <v>19.36</v>
      </c>
      <c r="T7" s="9">
        <v>16410.54</v>
      </c>
      <c r="U7" s="30">
        <v>100.043437790878</v>
      </c>
    </row>
    <row r="8" ht="15" spans="1:21">
      <c r="A8" s="14">
        <v>2019</v>
      </c>
      <c r="B8" s="14" t="s">
        <v>21</v>
      </c>
      <c r="C8" s="15">
        <v>131716</v>
      </c>
      <c r="D8" s="9">
        <v>35445.13</v>
      </c>
      <c r="E8" s="9">
        <v>161776</v>
      </c>
      <c r="F8" s="9">
        <v>2.65</v>
      </c>
      <c r="G8" s="9">
        <v>5.85055188919291</v>
      </c>
      <c r="H8" s="9">
        <v>20.9004452797888</v>
      </c>
      <c r="I8" s="9">
        <v>11.23</v>
      </c>
      <c r="J8" s="9">
        <v>1183.5</v>
      </c>
      <c r="K8" s="9">
        <v>19.3</v>
      </c>
      <c r="L8" s="9">
        <v>38433</v>
      </c>
      <c r="M8" s="9">
        <v>173205</v>
      </c>
      <c r="N8" s="9">
        <v>62.7740389172501</v>
      </c>
      <c r="O8" s="9">
        <v>15.35</v>
      </c>
      <c r="P8" s="9">
        <v>60.1545</v>
      </c>
      <c r="Q8" s="9">
        <v>6.531913</v>
      </c>
      <c r="R8" s="9">
        <v>4.42</v>
      </c>
      <c r="S8" s="9">
        <v>19.6</v>
      </c>
      <c r="T8" s="9">
        <v>16410.54</v>
      </c>
      <c r="U8" s="30">
        <v>100.261635736364</v>
      </c>
    </row>
    <row r="9" ht="15" spans="1:21">
      <c r="A9" s="14">
        <v>2020</v>
      </c>
      <c r="B9" s="14" t="s">
        <v>21</v>
      </c>
      <c r="C9" s="15">
        <v>162823.999999998</v>
      </c>
      <c r="D9" s="9">
        <v>35943.25</v>
      </c>
      <c r="E9" s="9">
        <v>164158</v>
      </c>
      <c r="F9" s="9">
        <v>2.57</v>
      </c>
      <c r="G9" s="9">
        <v>5.77500850175234</v>
      </c>
      <c r="H9" s="9">
        <v>19.7983766075689</v>
      </c>
      <c r="I9" s="9">
        <v>10.53</v>
      </c>
      <c r="J9" s="9">
        <v>1163.8</v>
      </c>
      <c r="K9" s="9">
        <v>21</v>
      </c>
      <c r="L9" s="9">
        <v>42684</v>
      </c>
      <c r="M9" s="9">
        <v>185026</v>
      </c>
      <c r="N9" s="9">
        <v>55.1916615962541</v>
      </c>
      <c r="O9" s="9">
        <v>16</v>
      </c>
      <c r="P9" s="9">
        <v>60.8866</v>
      </c>
      <c r="Q9" s="9">
        <v>6.89541</v>
      </c>
      <c r="R9" s="9">
        <v>4.62</v>
      </c>
      <c r="S9" s="9">
        <v>23.2</v>
      </c>
      <c r="T9" s="9">
        <v>16410.54</v>
      </c>
      <c r="U9" s="30">
        <v>101.224604512968</v>
      </c>
    </row>
    <row r="10" ht="15" spans="1:21">
      <c r="A10" s="14">
        <v>2021</v>
      </c>
      <c r="B10" s="14" t="s">
        <v>21</v>
      </c>
      <c r="C10" s="15">
        <v>198778</v>
      </c>
      <c r="D10" s="9">
        <v>41045.63</v>
      </c>
      <c r="E10" s="9">
        <v>187526</v>
      </c>
      <c r="F10" s="9">
        <v>2.27</v>
      </c>
      <c r="G10" s="9">
        <v>6.23792525315331</v>
      </c>
      <c r="H10" s="9">
        <v>17.5539271781186</v>
      </c>
      <c r="I10" s="9">
        <v>14.14</v>
      </c>
      <c r="J10" s="9">
        <v>1158</v>
      </c>
      <c r="K10" s="9">
        <v>20.8</v>
      </c>
      <c r="L10" s="9">
        <v>46941</v>
      </c>
      <c r="M10" s="9">
        <v>201504</v>
      </c>
      <c r="N10" s="9">
        <v>57.3811918840011</v>
      </c>
      <c r="O10" s="9">
        <v>15.93</v>
      </c>
      <c r="P10" s="9">
        <v>61.6978</v>
      </c>
      <c r="Q10" s="9">
        <v>8.1315</v>
      </c>
      <c r="R10" s="9">
        <v>4.15</v>
      </c>
      <c r="S10" s="9">
        <v>19.6</v>
      </c>
      <c r="T10" s="9">
        <v>16410.54</v>
      </c>
      <c r="U10" s="30">
        <v>99.938656078144</v>
      </c>
    </row>
    <row r="11" ht="15" spans="1:21">
      <c r="A11" s="14">
        <v>2022</v>
      </c>
      <c r="B11" s="14" t="s">
        <v>21</v>
      </c>
      <c r="C11" s="15">
        <v>202722.000000004</v>
      </c>
      <c r="D11" s="9">
        <v>41540.9</v>
      </c>
      <c r="E11" s="9">
        <v>189988</v>
      </c>
      <c r="F11" s="9">
        <v>2.81</v>
      </c>
      <c r="G11" s="9">
        <v>6.5429131828923</v>
      </c>
      <c r="H11" s="9">
        <v>17.9802315308527</v>
      </c>
      <c r="I11" s="9">
        <v>8.56</v>
      </c>
      <c r="J11" s="9">
        <v>1132.1</v>
      </c>
      <c r="K11" s="9">
        <v>21.1</v>
      </c>
      <c r="L11" s="9">
        <v>47784</v>
      </c>
      <c r="M11" s="9">
        <v>215143</v>
      </c>
      <c r="N11" s="9">
        <v>54.2910869642836</v>
      </c>
      <c r="O11" s="9">
        <v>15.68</v>
      </c>
      <c r="P11" s="9">
        <v>62.659</v>
      </c>
      <c r="Q11" s="9">
        <v>7.599491</v>
      </c>
      <c r="R11" s="9">
        <v>5.35</v>
      </c>
      <c r="S11" s="9">
        <v>17.8</v>
      </c>
      <c r="T11" s="9">
        <v>16410.54</v>
      </c>
      <c r="U11" s="30">
        <v>99.9616370868398</v>
      </c>
    </row>
    <row r="12" s="4" customFormat="1" ht="15" spans="1:21">
      <c r="A12" s="16">
        <v>2023</v>
      </c>
      <c r="B12" s="16" t="s">
        <v>21</v>
      </c>
      <c r="C12" s="17">
        <v>193973.000000008</v>
      </c>
      <c r="D12" s="4">
        <v>43760.7</v>
      </c>
      <c r="E12" s="4">
        <v>200278</v>
      </c>
      <c r="F12" s="4">
        <v>2.21</v>
      </c>
      <c r="G12" s="4">
        <v>6.54740473576917</v>
      </c>
      <c r="H12" s="4">
        <v>18.2155449981376</v>
      </c>
      <c r="I12" s="4">
        <v>14.51</v>
      </c>
      <c r="J12" s="4">
        <v>1129</v>
      </c>
      <c r="K12" s="4">
        <v>20.8</v>
      </c>
      <c r="L12" s="4">
        <v>46783</v>
      </c>
      <c r="M12" s="4">
        <v>224562</v>
      </c>
      <c r="N12" s="4">
        <v>57.4134235758601</v>
      </c>
      <c r="O12" s="4">
        <v>15.4</v>
      </c>
      <c r="P12" s="4">
        <v>64.4532</v>
      </c>
      <c r="Q12" s="4">
        <v>7.838537</v>
      </c>
      <c r="R12" s="4">
        <v>6</v>
      </c>
      <c r="S12" s="4">
        <v>16.6</v>
      </c>
      <c r="T12" s="4">
        <v>16410.54</v>
      </c>
      <c r="U12" s="31">
        <v>100.27479953149</v>
      </c>
    </row>
    <row r="13" s="5" customFormat="1" ht="15" spans="1:21">
      <c r="A13" s="18">
        <v>2013</v>
      </c>
      <c r="B13" s="18" t="s">
        <v>22</v>
      </c>
      <c r="C13" s="19">
        <v>48680.0000000018</v>
      </c>
      <c r="D13" s="20">
        <v>23204.1</v>
      </c>
      <c r="E13" s="20">
        <v>95700</v>
      </c>
      <c r="F13" s="21">
        <v>4.48</v>
      </c>
      <c r="G13" s="22">
        <v>5.64544087479381</v>
      </c>
      <c r="H13" s="23">
        <v>19.5164216668606</v>
      </c>
      <c r="I13" s="23">
        <v>6.06</v>
      </c>
      <c r="J13" s="5">
        <v>749.5</v>
      </c>
      <c r="K13" s="5">
        <v>34.9</v>
      </c>
      <c r="L13" s="25">
        <v>16192</v>
      </c>
      <c r="M13" s="9">
        <v>91477</v>
      </c>
      <c r="N13" s="26">
        <v>64.3905034488889</v>
      </c>
      <c r="O13" s="9">
        <v>15.01</v>
      </c>
      <c r="P13" s="9">
        <v>50.4771</v>
      </c>
      <c r="Q13" s="18">
        <v>3.27571253572887</v>
      </c>
      <c r="R13" s="30">
        <v>9.21</v>
      </c>
      <c r="S13" s="23">
        <v>6.76</v>
      </c>
      <c r="T13" s="23">
        <v>6340.5</v>
      </c>
      <c r="U13" s="30">
        <v>99.9</v>
      </c>
    </row>
    <row r="14" ht="15" spans="1:21">
      <c r="A14" s="14">
        <v>2014</v>
      </c>
      <c r="B14" s="14" t="s">
        <v>22</v>
      </c>
      <c r="C14" s="15">
        <v>50488.0000000012</v>
      </c>
      <c r="D14" s="9">
        <v>25269.8</v>
      </c>
      <c r="E14" s="9">
        <v>102800</v>
      </c>
      <c r="F14" s="9">
        <v>4.42</v>
      </c>
      <c r="G14" s="22">
        <v>5.32737273126107</v>
      </c>
      <c r="H14" s="9">
        <v>19.4834941313346</v>
      </c>
      <c r="I14" s="9">
        <v>5.77</v>
      </c>
      <c r="J14" s="5">
        <v>800.1</v>
      </c>
      <c r="K14" s="9">
        <v>35</v>
      </c>
      <c r="L14" s="9">
        <v>16415</v>
      </c>
      <c r="M14" s="9">
        <v>100623</v>
      </c>
      <c r="N14" s="9">
        <v>64.3905034488889</v>
      </c>
      <c r="O14" s="9">
        <v>15.52</v>
      </c>
      <c r="P14" s="9">
        <v>50.6644</v>
      </c>
      <c r="Q14" s="18">
        <v>3.75036857112683</v>
      </c>
      <c r="R14" s="9">
        <v>9.39</v>
      </c>
      <c r="S14" s="9">
        <v>6.76</v>
      </c>
      <c r="T14" s="9">
        <v>6340.5</v>
      </c>
      <c r="U14" s="30">
        <v>99.9806361039841</v>
      </c>
    </row>
    <row r="15" ht="15" spans="1:21">
      <c r="A15" s="14">
        <v>2015</v>
      </c>
      <c r="B15" s="14" t="s">
        <v>22</v>
      </c>
      <c r="C15" s="15">
        <v>60623.0000000005</v>
      </c>
      <c r="D15" s="9">
        <v>26887</v>
      </c>
      <c r="E15" s="9">
        <v>109200</v>
      </c>
      <c r="F15" s="9">
        <v>4.28</v>
      </c>
      <c r="G15" s="22">
        <v>4.39065437466487</v>
      </c>
      <c r="H15" s="9">
        <v>23.0280804849927</v>
      </c>
      <c r="I15" s="9">
        <v>6.29</v>
      </c>
      <c r="J15" s="5">
        <v>811.3</v>
      </c>
      <c r="K15" s="9">
        <v>26.23</v>
      </c>
      <c r="L15" s="9">
        <v>21501</v>
      </c>
      <c r="M15" s="9">
        <v>109279</v>
      </c>
      <c r="N15" s="9">
        <v>70.11690579</v>
      </c>
      <c r="O15" s="9">
        <v>12.39</v>
      </c>
      <c r="P15" s="9">
        <v>51.1623</v>
      </c>
      <c r="Q15" s="18">
        <v>3.48261285301312</v>
      </c>
      <c r="R15" s="9">
        <v>9.5</v>
      </c>
      <c r="S15" s="9">
        <v>6.76</v>
      </c>
      <c r="T15" s="9">
        <v>6340.5</v>
      </c>
      <c r="U15" s="30">
        <v>100.40192926045</v>
      </c>
    </row>
    <row r="16" ht="15" spans="1:21">
      <c r="A16" s="14">
        <v>2016</v>
      </c>
      <c r="B16" s="14" t="s">
        <v>22</v>
      </c>
      <c r="C16" s="12">
        <v>64229.9999999975</v>
      </c>
      <c r="D16" s="9">
        <v>29887</v>
      </c>
      <c r="E16" s="9">
        <v>121400</v>
      </c>
      <c r="F16" s="9">
        <v>4.11</v>
      </c>
      <c r="G16" s="22">
        <v>4.93876229595863</v>
      </c>
      <c r="H16" s="9">
        <v>23.1503329206679</v>
      </c>
      <c r="I16" s="9">
        <v>6.61</v>
      </c>
      <c r="J16" s="5">
        <v>819.5</v>
      </c>
      <c r="K16" s="9">
        <v>25.13</v>
      </c>
      <c r="L16" s="9">
        <v>25910</v>
      </c>
      <c r="M16" s="9">
        <v>120503</v>
      </c>
      <c r="N16" s="9">
        <v>69.08583512</v>
      </c>
      <c r="O16" s="9">
        <v>12.15</v>
      </c>
      <c r="P16" s="9">
        <v>51.4683</v>
      </c>
      <c r="Q16" s="18">
        <v>3.72841935097593</v>
      </c>
      <c r="R16" s="9">
        <v>9.87</v>
      </c>
      <c r="S16" s="9">
        <v>6.76</v>
      </c>
      <c r="T16" s="9">
        <v>6340.5</v>
      </c>
      <c r="U16" s="30">
        <v>100.37</v>
      </c>
    </row>
    <row r="17" ht="15" spans="1:21">
      <c r="A17" s="14">
        <v>2017</v>
      </c>
      <c r="B17" s="14" t="s">
        <v>22</v>
      </c>
      <c r="C17" s="15">
        <v>72806.0000000034</v>
      </c>
      <c r="D17" s="9">
        <v>32925</v>
      </c>
      <c r="E17" s="9">
        <v>133500</v>
      </c>
      <c r="F17" s="9">
        <v>3.49</v>
      </c>
      <c r="G17" s="22">
        <v>5.16586685604204</v>
      </c>
      <c r="H17" s="9">
        <v>22.9236750189825</v>
      </c>
      <c r="I17" s="9">
        <v>7.68</v>
      </c>
      <c r="J17" s="5">
        <v>847.8</v>
      </c>
      <c r="K17" s="9">
        <v>24.72</v>
      </c>
      <c r="L17" s="9">
        <v>24866</v>
      </c>
      <c r="M17" s="9">
        <v>130765</v>
      </c>
      <c r="N17" s="9">
        <v>67.58259314</v>
      </c>
      <c r="O17" s="9">
        <v>11.58</v>
      </c>
      <c r="P17" s="9">
        <v>51.4917</v>
      </c>
      <c r="Q17" s="18">
        <v>4.20281457769022</v>
      </c>
      <c r="R17" s="9">
        <v>8.9</v>
      </c>
      <c r="S17" s="9">
        <v>6.76</v>
      </c>
      <c r="T17" s="9">
        <v>6340.5</v>
      </c>
      <c r="U17" s="30">
        <v>100.118499012508</v>
      </c>
    </row>
    <row r="18" ht="15" spans="1:21">
      <c r="A18" s="14">
        <v>2018</v>
      </c>
      <c r="B18" s="14" t="s">
        <v>22</v>
      </c>
      <c r="C18" s="15">
        <v>92459.9999999985</v>
      </c>
      <c r="D18" s="9">
        <v>36011.8</v>
      </c>
      <c r="E18" s="9">
        <v>145700</v>
      </c>
      <c r="F18" s="9">
        <v>3.18</v>
      </c>
      <c r="G18" s="22">
        <v>5.1052859712101</v>
      </c>
      <c r="H18" s="9">
        <v>23.1911206882189</v>
      </c>
      <c r="I18" s="9">
        <v>9.83</v>
      </c>
      <c r="J18" s="5">
        <v>877</v>
      </c>
      <c r="K18" s="9">
        <v>24.13</v>
      </c>
      <c r="L18" s="9">
        <v>28981.11</v>
      </c>
      <c r="M18" s="9">
        <v>142983</v>
      </c>
      <c r="N18" s="9">
        <v>67.6353</v>
      </c>
      <c r="O18" s="9">
        <v>10.99</v>
      </c>
      <c r="P18" s="9">
        <v>51.7796</v>
      </c>
      <c r="Q18" s="18">
        <v>4.28558917589176</v>
      </c>
      <c r="R18" s="9">
        <v>8.8</v>
      </c>
      <c r="S18" s="9">
        <v>6.76</v>
      </c>
      <c r="T18" s="9">
        <v>6340.5</v>
      </c>
      <c r="U18" s="30">
        <v>100.197615653751</v>
      </c>
    </row>
    <row r="19" ht="15" spans="1:21">
      <c r="A19" s="14">
        <v>2019</v>
      </c>
      <c r="B19" s="14" t="s">
        <v>22</v>
      </c>
      <c r="C19" s="15">
        <v>100587.000000004</v>
      </c>
      <c r="D19" s="9">
        <v>37987.55</v>
      </c>
      <c r="E19" s="9">
        <v>153300</v>
      </c>
      <c r="F19" s="9">
        <v>3.46</v>
      </c>
      <c r="G19" s="22">
        <v>4.76252188456686</v>
      </c>
      <c r="H19" s="9">
        <v>21.5314754439283</v>
      </c>
      <c r="I19" s="9">
        <v>10.28</v>
      </c>
      <c r="J19" s="5">
        <v>966.5</v>
      </c>
      <c r="K19" s="9">
        <v>23.35</v>
      </c>
      <c r="L19" s="9">
        <v>32926</v>
      </c>
      <c r="M19" s="9">
        <v>151772</v>
      </c>
      <c r="N19" s="9">
        <v>65.57359234</v>
      </c>
      <c r="O19" s="9">
        <v>12.17</v>
      </c>
      <c r="P19" s="9">
        <v>52.6585</v>
      </c>
      <c r="Q19" s="18">
        <v>3.97825774840474</v>
      </c>
      <c r="R19" s="9">
        <v>8.07</v>
      </c>
      <c r="S19" s="9">
        <v>6.2</v>
      </c>
      <c r="T19" s="9">
        <v>6340.5</v>
      </c>
      <c r="U19" s="30">
        <v>99.880551689232</v>
      </c>
    </row>
    <row r="20" ht="15" spans="1:21">
      <c r="A20" s="14">
        <v>2020</v>
      </c>
      <c r="B20" s="14" t="s">
        <v>22</v>
      </c>
      <c r="C20" s="15">
        <v>139779.999999997</v>
      </c>
      <c r="D20" s="9">
        <v>38963.3</v>
      </c>
      <c r="E20" s="9">
        <v>156800</v>
      </c>
      <c r="F20" s="9">
        <v>3.58</v>
      </c>
      <c r="G20" s="22">
        <v>5.01350882671304</v>
      </c>
      <c r="H20" s="9">
        <v>20.7942089094096</v>
      </c>
      <c r="I20" s="9">
        <v>11.49</v>
      </c>
      <c r="J20" s="9">
        <v>966.5</v>
      </c>
      <c r="K20" s="9">
        <v>25.68</v>
      </c>
      <c r="L20" s="9">
        <v>36741</v>
      </c>
      <c r="M20" s="9">
        <v>174678</v>
      </c>
      <c r="N20" s="9">
        <v>58.66138127</v>
      </c>
      <c r="O20" s="9">
        <v>12.35</v>
      </c>
      <c r="P20" s="9">
        <v>54.0693</v>
      </c>
      <c r="Q20" s="18">
        <v>4.00201044979555</v>
      </c>
      <c r="R20" s="9">
        <v>8.8</v>
      </c>
      <c r="S20" s="9">
        <v>11</v>
      </c>
      <c r="T20" s="9">
        <v>6340.5</v>
      </c>
      <c r="U20" s="30">
        <v>99.9364591339994</v>
      </c>
    </row>
    <row r="21" ht="15" spans="1:21">
      <c r="A21" s="14">
        <v>2021</v>
      </c>
      <c r="B21" s="14" t="s">
        <v>22</v>
      </c>
      <c r="C21" s="15">
        <v>179316.999999993</v>
      </c>
      <c r="D21" s="9">
        <v>43653.17</v>
      </c>
      <c r="E21" s="9">
        <v>175400</v>
      </c>
      <c r="F21" s="9">
        <v>3.33</v>
      </c>
      <c r="G21" s="22">
        <v>5.01372339239413</v>
      </c>
      <c r="H21" s="9">
        <v>19.3132824030878</v>
      </c>
      <c r="I21" s="9">
        <v>23.75</v>
      </c>
      <c r="J21" s="5">
        <v>966.5</v>
      </c>
      <c r="K21" s="9">
        <v>25.11</v>
      </c>
      <c r="L21" s="9">
        <v>40974</v>
      </c>
      <c r="M21" s="9">
        <v>196053</v>
      </c>
      <c r="N21" s="9">
        <v>62.2293125</v>
      </c>
      <c r="O21" s="9">
        <v>12.33</v>
      </c>
      <c r="P21" s="9">
        <v>54.8733</v>
      </c>
      <c r="Q21" s="18">
        <v>4.29423246320765</v>
      </c>
      <c r="R21" s="9">
        <v>9.4</v>
      </c>
      <c r="S21" s="9">
        <v>6</v>
      </c>
      <c r="T21" s="9">
        <v>6340.5</v>
      </c>
      <c r="U21" s="30">
        <v>100.247128385222</v>
      </c>
    </row>
    <row r="22" ht="15" spans="1:21">
      <c r="A22" s="14">
        <v>2022</v>
      </c>
      <c r="B22" s="14" t="s">
        <v>22</v>
      </c>
      <c r="C22" s="15">
        <v>178323.000000002</v>
      </c>
      <c r="D22" s="9">
        <v>44809.1</v>
      </c>
      <c r="E22" s="9">
        <v>180500</v>
      </c>
      <c r="F22" s="9">
        <v>3.58</v>
      </c>
      <c r="G22" s="22">
        <v>4.11203471462213</v>
      </c>
      <c r="H22" s="9">
        <v>20.9626169684283</v>
      </c>
      <c r="I22" s="9">
        <v>18.77</v>
      </c>
      <c r="J22" s="5">
        <v>966.5</v>
      </c>
      <c r="K22" s="9">
        <v>26.77</v>
      </c>
      <c r="L22" s="9">
        <v>44430</v>
      </c>
      <c r="M22" s="9">
        <v>217363</v>
      </c>
      <c r="N22" s="9">
        <v>57.25182664</v>
      </c>
      <c r="O22" s="9">
        <v>11.95</v>
      </c>
      <c r="P22" s="9">
        <v>55.4807</v>
      </c>
      <c r="Q22" s="18">
        <v>4.20327820186599</v>
      </c>
      <c r="R22" s="9">
        <v>10.1</v>
      </c>
      <c r="S22" s="9">
        <v>5.4</v>
      </c>
      <c r="T22" s="9">
        <v>6340.5</v>
      </c>
      <c r="U22" s="30">
        <v>99.6703952661494</v>
      </c>
    </row>
    <row r="23" s="4" customFormat="1" ht="15" spans="1:21">
      <c r="A23" s="16">
        <v>2023</v>
      </c>
      <c r="B23" s="16" t="s">
        <v>22</v>
      </c>
      <c r="C23" s="17">
        <v>159114.999999999</v>
      </c>
      <c r="D23" s="4">
        <v>47218.7</v>
      </c>
      <c r="E23" s="4">
        <v>190300</v>
      </c>
      <c r="F23" s="4">
        <v>3.59</v>
      </c>
      <c r="G23" s="24">
        <v>5.47854388282006</v>
      </c>
      <c r="H23" s="4">
        <v>20.4124848841667</v>
      </c>
      <c r="I23" s="4">
        <v>25.87</v>
      </c>
      <c r="J23" s="27">
        <v>966.5</v>
      </c>
      <c r="K23" s="4">
        <v>24.71</v>
      </c>
      <c r="L23" s="4">
        <v>45997</v>
      </c>
      <c r="M23" s="4">
        <v>235520</v>
      </c>
      <c r="N23" s="4">
        <v>61.37778424</v>
      </c>
      <c r="O23" s="4">
        <v>12.51</v>
      </c>
      <c r="P23" s="4">
        <v>57.2443</v>
      </c>
      <c r="Q23" s="32">
        <v>4.25213787927522</v>
      </c>
      <c r="R23" s="4">
        <v>11.3</v>
      </c>
      <c r="S23" s="4">
        <v>5.2</v>
      </c>
      <c r="T23" s="4">
        <v>6340.5</v>
      </c>
      <c r="U23" s="31">
        <v>100.15770252324</v>
      </c>
    </row>
    <row r="24" ht="15" spans="1:21">
      <c r="A24" s="14">
        <v>2013</v>
      </c>
      <c r="B24" s="14" t="s">
        <v>23</v>
      </c>
      <c r="C24" s="15">
        <v>19483.9999999999</v>
      </c>
      <c r="D24" s="9">
        <v>8011.78</v>
      </c>
      <c r="E24" s="9">
        <v>92126.4876674524</v>
      </c>
      <c r="F24" s="9">
        <v>3.12</v>
      </c>
      <c r="G24" s="9">
        <v>4.71495222761514</v>
      </c>
      <c r="H24" s="9">
        <v>10.6207359662896</v>
      </c>
      <c r="I24" s="9">
        <v>1.7373</v>
      </c>
      <c r="J24" s="9">
        <v>452.4</v>
      </c>
      <c r="K24" s="9">
        <v>33</v>
      </c>
      <c r="L24" s="9">
        <v>11078</v>
      </c>
      <c r="M24" s="9">
        <v>66222</v>
      </c>
      <c r="N24" s="9">
        <v>61.6873322254889</v>
      </c>
      <c r="O24" s="9">
        <v>14.79</v>
      </c>
      <c r="P24" s="9">
        <v>80.745</v>
      </c>
      <c r="Q24" s="33">
        <v>3.54510851452607</v>
      </c>
      <c r="R24" s="9">
        <v>7.67</v>
      </c>
      <c r="S24" s="9">
        <v>1.48</v>
      </c>
      <c r="T24" s="9">
        <v>6587.02</v>
      </c>
      <c r="U24" s="30">
        <v>97.53</v>
      </c>
    </row>
    <row r="25" ht="15" spans="1:21">
      <c r="A25" s="14">
        <v>2014</v>
      </c>
      <c r="B25" s="14" t="s">
        <v>23</v>
      </c>
      <c r="C25" s="15">
        <v>22844.0000000011</v>
      </c>
      <c r="D25" s="9">
        <v>8820.75</v>
      </c>
      <c r="E25" s="9">
        <v>99236.6626915375</v>
      </c>
      <c r="F25" s="9">
        <v>2.29</v>
      </c>
      <c r="G25" s="9">
        <v>4.85453755970473</v>
      </c>
      <c r="H25" s="9">
        <v>10.4435563869286</v>
      </c>
      <c r="I25" s="9">
        <v>2.2543</v>
      </c>
      <c r="J25" s="9">
        <v>453</v>
      </c>
      <c r="K25" s="9">
        <v>29.3</v>
      </c>
      <c r="L25" s="9">
        <v>10964</v>
      </c>
      <c r="M25" s="9">
        <v>77286</v>
      </c>
      <c r="N25" s="9">
        <v>60.7381131366285</v>
      </c>
      <c r="O25" s="9">
        <v>14.86</v>
      </c>
      <c r="P25" s="9">
        <v>80.5338</v>
      </c>
      <c r="Q25" s="33">
        <v>3.54510851452607</v>
      </c>
      <c r="R25" s="9">
        <v>7.85</v>
      </c>
      <c r="S25" s="9">
        <v>1.48</v>
      </c>
      <c r="T25" s="9">
        <v>6587.02</v>
      </c>
      <c r="U25" s="30">
        <v>98.8120696688381</v>
      </c>
    </row>
    <row r="26" ht="15" spans="1:21">
      <c r="A26" s="14">
        <v>2015</v>
      </c>
      <c r="B26" s="14" t="s">
        <v>23</v>
      </c>
      <c r="C26" s="15">
        <v>28104.0000000011</v>
      </c>
      <c r="D26" s="9">
        <v>9720.77</v>
      </c>
      <c r="E26" s="9">
        <v>108334.763565848</v>
      </c>
      <c r="F26" s="9">
        <v>2.14</v>
      </c>
      <c r="G26" s="9">
        <v>4.97623305947952</v>
      </c>
      <c r="H26" s="9">
        <v>10.7560409309139</v>
      </c>
      <c r="I26" s="9">
        <v>2.9528</v>
      </c>
      <c r="J26" s="9">
        <v>455</v>
      </c>
      <c r="K26" s="9">
        <v>36</v>
      </c>
      <c r="L26" s="9">
        <v>11260</v>
      </c>
      <c r="M26" s="9">
        <v>81075</v>
      </c>
      <c r="N26" s="9">
        <v>60.2854416102724</v>
      </c>
      <c r="O26" s="9">
        <v>17.04</v>
      </c>
      <c r="P26" s="9">
        <v>81.2619</v>
      </c>
      <c r="Q26" s="33">
        <v>3.54510851452607</v>
      </c>
      <c r="R26" s="9">
        <v>8.12</v>
      </c>
      <c r="S26" s="9">
        <v>1.48</v>
      </c>
      <c r="T26" s="9">
        <v>6587.02</v>
      </c>
      <c r="U26" s="30">
        <v>97.9844892335724</v>
      </c>
    </row>
    <row r="27" ht="15" spans="1:21">
      <c r="A27" s="14">
        <v>2016</v>
      </c>
      <c r="B27" s="14" t="s">
        <v>23</v>
      </c>
      <c r="C27" s="15">
        <v>28781.9999999995</v>
      </c>
      <c r="D27" s="9">
        <v>10503.02</v>
      </c>
      <c r="E27" s="9">
        <v>114951.679453644</v>
      </c>
      <c r="F27" s="9">
        <v>2.2</v>
      </c>
      <c r="G27" s="9">
        <v>4.51273226045545</v>
      </c>
      <c r="H27" s="9">
        <v>11.175738025825</v>
      </c>
      <c r="I27" s="9">
        <v>5.0299</v>
      </c>
      <c r="J27" s="9">
        <v>456</v>
      </c>
      <c r="K27" s="9">
        <v>28.6</v>
      </c>
      <c r="L27" s="9">
        <v>17884</v>
      </c>
      <c r="M27" s="9">
        <v>90191</v>
      </c>
      <c r="N27" s="9">
        <v>59.5475728543713</v>
      </c>
      <c r="O27" s="9">
        <v>17.27</v>
      </c>
      <c r="P27" s="9">
        <v>82.7773</v>
      </c>
      <c r="Q27" s="33">
        <v>3.54510851452607</v>
      </c>
      <c r="R27" s="9">
        <v>8.26</v>
      </c>
      <c r="S27" s="9">
        <v>1.48</v>
      </c>
      <c r="T27" s="9">
        <v>6587.02</v>
      </c>
      <c r="U27" s="30">
        <v>97.3486736976671</v>
      </c>
    </row>
    <row r="28" ht="15" spans="1:21">
      <c r="A28" s="14">
        <v>2017</v>
      </c>
      <c r="B28" s="14" t="s">
        <v>23</v>
      </c>
      <c r="C28" s="15">
        <v>32072.9999999997</v>
      </c>
      <c r="D28" s="9">
        <v>11715.1</v>
      </c>
      <c r="E28" s="9">
        <v>127448.868581375</v>
      </c>
      <c r="F28" s="9">
        <v>2.12</v>
      </c>
      <c r="G28" s="9">
        <v>4.96986617034477</v>
      </c>
      <c r="H28" s="9">
        <v>11.5573917422813</v>
      </c>
      <c r="I28" s="9">
        <v>13.2388</v>
      </c>
      <c r="J28" s="9">
        <v>457.6</v>
      </c>
      <c r="K28" s="9">
        <v>25.25</v>
      </c>
      <c r="L28" s="9">
        <v>15259</v>
      </c>
      <c r="M28" s="9">
        <v>101502</v>
      </c>
      <c r="N28" s="9">
        <v>57.5470314276284</v>
      </c>
      <c r="O28" s="9">
        <v>16.09</v>
      </c>
      <c r="P28" s="9">
        <v>72.154</v>
      </c>
      <c r="Q28" s="33">
        <v>3.54510851452607</v>
      </c>
      <c r="R28" s="9">
        <v>8.79</v>
      </c>
      <c r="S28" s="9">
        <v>1.48</v>
      </c>
      <c r="T28" s="9">
        <v>6587.02</v>
      </c>
      <c r="U28" s="30">
        <v>99.1848722856577</v>
      </c>
    </row>
    <row r="29" ht="15" spans="1:21">
      <c r="A29" s="14">
        <v>2018</v>
      </c>
      <c r="B29" s="14" t="s">
        <v>23</v>
      </c>
      <c r="C29" s="15">
        <v>44088.9999999978</v>
      </c>
      <c r="D29" s="9">
        <v>12820.4</v>
      </c>
      <c r="E29" s="9">
        <v>138690.379601683</v>
      </c>
      <c r="F29" s="9">
        <v>1.99</v>
      </c>
      <c r="G29" s="9">
        <v>5.25474486367284</v>
      </c>
      <c r="H29" s="9">
        <v>11.9552432061402</v>
      </c>
      <c r="I29" s="9">
        <v>12.6479</v>
      </c>
      <c r="J29" s="9">
        <v>464</v>
      </c>
      <c r="K29" s="28">
        <v>26.1</v>
      </c>
      <c r="L29" s="9">
        <v>19708.33</v>
      </c>
      <c r="M29" s="9">
        <v>111071</v>
      </c>
      <c r="N29" s="9">
        <v>56.5471774465502</v>
      </c>
      <c r="O29" s="9">
        <v>16.51</v>
      </c>
      <c r="P29" s="9">
        <v>72.6728</v>
      </c>
      <c r="Q29" s="33">
        <v>3.54510851452607</v>
      </c>
      <c r="R29" s="9">
        <v>8.5</v>
      </c>
      <c r="S29" s="9">
        <v>1.48</v>
      </c>
      <c r="T29" s="9">
        <v>6587.02</v>
      </c>
      <c r="U29" s="30">
        <v>99.0581742513345</v>
      </c>
    </row>
    <row r="30" ht="15" spans="1:21">
      <c r="A30" s="14">
        <v>2019</v>
      </c>
      <c r="B30" s="14" t="s">
        <v>23</v>
      </c>
      <c r="C30" s="15">
        <v>55003.9999999981</v>
      </c>
      <c r="D30" s="9">
        <v>14031</v>
      </c>
      <c r="E30" s="9">
        <v>151170.056886744</v>
      </c>
      <c r="F30" s="9">
        <v>2.02</v>
      </c>
      <c r="G30" s="9">
        <v>5.88568672374292</v>
      </c>
      <c r="H30" s="9">
        <v>11.8209678568883</v>
      </c>
      <c r="I30" s="9">
        <v>10.0316</v>
      </c>
      <c r="J30" s="9">
        <v>462.6</v>
      </c>
      <c r="K30" s="9">
        <v>25.7</v>
      </c>
      <c r="L30" s="9">
        <v>19428</v>
      </c>
      <c r="M30" s="9">
        <v>129605</v>
      </c>
      <c r="N30" s="9">
        <v>55.820853787361</v>
      </c>
      <c r="O30" s="9">
        <v>17.43</v>
      </c>
      <c r="P30" s="9">
        <v>87.7894</v>
      </c>
      <c r="Q30" s="33">
        <v>3.54510851452607</v>
      </c>
      <c r="R30" s="9">
        <v>9.71</v>
      </c>
      <c r="S30" s="9">
        <v>1.4</v>
      </c>
      <c r="T30" s="9">
        <v>6587.02</v>
      </c>
      <c r="U30" s="30">
        <v>98.8534610936726</v>
      </c>
    </row>
    <row r="31" ht="15" spans="1:21">
      <c r="A31" s="14">
        <v>2020</v>
      </c>
      <c r="B31" s="14" t="s">
        <v>23</v>
      </c>
      <c r="C31" s="15">
        <v>76322.9999999983</v>
      </c>
      <c r="D31" s="9">
        <v>14818</v>
      </c>
      <c r="E31" s="9">
        <v>158996.534223205</v>
      </c>
      <c r="F31" s="9">
        <v>2.1</v>
      </c>
      <c r="G31" s="9">
        <v>5.74825318302539</v>
      </c>
      <c r="H31" s="9">
        <v>11.8411391550817</v>
      </c>
      <c r="I31" s="9">
        <v>10.366</v>
      </c>
      <c r="J31" s="9">
        <v>484.39</v>
      </c>
      <c r="K31" s="9">
        <v>25.7</v>
      </c>
      <c r="L31" s="9">
        <v>25175</v>
      </c>
      <c r="M31" s="9">
        <v>138005</v>
      </c>
      <c r="N31" s="9">
        <v>53.0753630482732</v>
      </c>
      <c r="O31" s="9">
        <v>17.46</v>
      </c>
      <c r="P31" s="9">
        <v>91.8141</v>
      </c>
      <c r="Q31" s="33">
        <v>3.54510851452607</v>
      </c>
      <c r="R31" s="9">
        <v>11.25</v>
      </c>
      <c r="S31" s="9">
        <v>2.2</v>
      </c>
      <c r="T31" s="9">
        <v>6587.02</v>
      </c>
      <c r="U31" s="30">
        <v>98.7674714104192</v>
      </c>
    </row>
    <row r="32" ht="15" spans="1:21">
      <c r="A32" s="14">
        <v>2021</v>
      </c>
      <c r="B32" s="14" t="s">
        <v>23</v>
      </c>
      <c r="C32" s="15">
        <v>91963.9999999975</v>
      </c>
      <c r="D32" s="9">
        <v>16356</v>
      </c>
      <c r="E32" s="9">
        <v>173567.926650678</v>
      </c>
      <c r="F32" s="9">
        <v>1.98</v>
      </c>
      <c r="G32" s="9">
        <v>5.95578001133282</v>
      </c>
      <c r="H32" s="9">
        <v>11.1135363169479</v>
      </c>
      <c r="I32" s="9">
        <v>10.2459</v>
      </c>
      <c r="J32" s="9">
        <v>485.06</v>
      </c>
      <c r="K32" s="9">
        <v>25.6</v>
      </c>
      <c r="L32" s="9">
        <v>27938</v>
      </c>
      <c r="M32" s="9">
        <v>149087</v>
      </c>
      <c r="N32" s="9">
        <v>57.7323930265107</v>
      </c>
      <c r="O32" s="9">
        <v>17.75</v>
      </c>
      <c r="P32" s="9">
        <v>75.7385</v>
      </c>
      <c r="Q32" s="18">
        <v>3.6395748427673</v>
      </c>
      <c r="R32" s="9">
        <v>12</v>
      </c>
      <c r="S32" s="9">
        <v>1.2</v>
      </c>
      <c r="T32" s="9">
        <v>6587.02</v>
      </c>
      <c r="U32" s="30">
        <v>99.5448634590377</v>
      </c>
    </row>
    <row r="33" ht="15" spans="1:21">
      <c r="A33" s="14">
        <v>2022</v>
      </c>
      <c r="B33" s="14" t="s">
        <v>23</v>
      </c>
      <c r="C33" s="15">
        <v>86900.0000000015</v>
      </c>
      <c r="D33" s="9">
        <v>16907.85</v>
      </c>
      <c r="E33" s="9">
        <v>178144.261466005</v>
      </c>
      <c r="F33" s="9">
        <v>1.92</v>
      </c>
      <c r="G33" s="9">
        <v>6.12679021594693</v>
      </c>
      <c r="H33" s="9">
        <v>10.8156270608031</v>
      </c>
      <c r="I33" s="9">
        <v>5.168</v>
      </c>
      <c r="J33" s="9">
        <v>476.88</v>
      </c>
      <c r="K33" s="9">
        <v>25.5</v>
      </c>
      <c r="L33" s="9">
        <v>27826</v>
      </c>
      <c r="M33" s="9">
        <v>155183</v>
      </c>
      <c r="N33" s="9">
        <v>56.9249637931709</v>
      </c>
      <c r="O33" s="9">
        <v>18.06</v>
      </c>
      <c r="P33" s="9">
        <v>77.7677</v>
      </c>
      <c r="Q33" s="18">
        <v>3.56797391709362</v>
      </c>
      <c r="R33" s="9">
        <v>12.59</v>
      </c>
      <c r="S33" s="9">
        <v>1.2</v>
      </c>
      <c r="T33" s="9">
        <v>6587.02</v>
      </c>
      <c r="U33" s="30">
        <v>97.9052278698924</v>
      </c>
    </row>
    <row r="34" s="4" customFormat="1" ht="15" spans="1:21">
      <c r="A34" s="16">
        <v>2023</v>
      </c>
      <c r="B34" s="16" t="s">
        <v>23</v>
      </c>
      <c r="C34" s="17">
        <v>68805.0000000012</v>
      </c>
      <c r="D34" s="4">
        <v>17421</v>
      </c>
      <c r="E34" s="4">
        <v>182476.170524772</v>
      </c>
      <c r="F34" s="4">
        <v>2</v>
      </c>
      <c r="G34" s="4">
        <v>6.12606733017893</v>
      </c>
      <c r="H34" s="4">
        <v>10.5545031858102</v>
      </c>
      <c r="I34" s="4">
        <v>3.5739</v>
      </c>
      <c r="J34" s="4">
        <v>477.5</v>
      </c>
      <c r="K34" s="4">
        <v>25.2</v>
      </c>
      <c r="L34" s="4">
        <v>23643</v>
      </c>
      <c r="M34" s="4">
        <v>159659</v>
      </c>
      <c r="N34" s="4">
        <v>58.2934709108668</v>
      </c>
      <c r="O34" s="4">
        <v>18.54</v>
      </c>
      <c r="P34" s="4">
        <v>79.941</v>
      </c>
      <c r="Q34" s="32">
        <v>3.42777678371729</v>
      </c>
      <c r="R34" s="4">
        <v>8.47551880555556</v>
      </c>
      <c r="S34" s="4">
        <v>1.4</v>
      </c>
      <c r="T34" s="4">
        <v>6587.02</v>
      </c>
      <c r="U34" s="31">
        <v>99.7193802981582</v>
      </c>
    </row>
    <row r="35" ht="15" spans="1:21">
      <c r="A35" s="14">
        <v>2013</v>
      </c>
      <c r="B35" s="14" t="s">
        <v>24</v>
      </c>
      <c r="C35" s="15">
        <v>81664.9999999967</v>
      </c>
      <c r="D35" s="9">
        <v>12929.78</v>
      </c>
      <c r="E35" s="9">
        <v>108348.598483261</v>
      </c>
      <c r="F35" s="9">
        <v>4.17</v>
      </c>
      <c r="G35" s="9">
        <v>6.29762179635188</v>
      </c>
      <c r="H35" s="9">
        <v>9.37896855166909</v>
      </c>
      <c r="I35" s="9">
        <v>3.7644</v>
      </c>
      <c r="J35" s="9">
        <v>721.62</v>
      </c>
      <c r="K35" s="9">
        <v>34.77</v>
      </c>
      <c r="L35" s="9">
        <v>9479.30203662952</v>
      </c>
      <c r="M35" s="9">
        <v>61995</v>
      </c>
      <c r="N35" s="9">
        <v>61.2424956857789</v>
      </c>
      <c r="O35" s="9">
        <v>16.17</v>
      </c>
      <c r="P35" s="9">
        <v>25.9862</v>
      </c>
      <c r="Q35" s="9">
        <v>2.809604</v>
      </c>
      <c r="R35" s="9">
        <v>8.47551880555556</v>
      </c>
      <c r="S35" s="9">
        <v>1.64</v>
      </c>
      <c r="T35" s="9">
        <v>8657.32</v>
      </c>
      <c r="U35" s="30">
        <v>87.4023603482208</v>
      </c>
    </row>
    <row r="36" ht="15" spans="1:21">
      <c r="A36" s="14">
        <v>2014</v>
      </c>
      <c r="B36" s="14" t="s">
        <v>24</v>
      </c>
      <c r="C36" s="15">
        <v>54708.9999999995</v>
      </c>
      <c r="D36" s="9">
        <v>13716.95</v>
      </c>
      <c r="E36" s="9">
        <v>112197.665573341</v>
      </c>
      <c r="F36" s="9">
        <v>3.64</v>
      </c>
      <c r="G36" s="9">
        <v>5.80918587095637</v>
      </c>
      <c r="H36" s="9">
        <v>9.51253740809728</v>
      </c>
      <c r="I36" s="9">
        <v>4.0026</v>
      </c>
      <c r="J36" s="9">
        <v>729.49</v>
      </c>
      <c r="K36" s="9">
        <v>26.95</v>
      </c>
      <c r="L36" s="9">
        <v>9639.41616328464</v>
      </c>
      <c r="M36" s="9">
        <v>67381</v>
      </c>
      <c r="N36" s="9">
        <v>62.0712556505345</v>
      </c>
      <c r="O36" s="9">
        <v>15.64</v>
      </c>
      <c r="P36" s="9">
        <v>26.7085</v>
      </c>
      <c r="Q36" s="9">
        <v>2.90665</v>
      </c>
      <c r="R36" s="9">
        <v>8.47551880555556</v>
      </c>
      <c r="S36" s="9">
        <v>1.64</v>
      </c>
      <c r="T36" s="9">
        <v>8657.32</v>
      </c>
      <c r="U36" s="30">
        <v>77.580446409289</v>
      </c>
    </row>
    <row r="37" ht="15" spans="1:21">
      <c r="A37" s="14">
        <v>2015</v>
      </c>
      <c r="B37" s="14" t="s">
        <v>24</v>
      </c>
      <c r="C37" s="15">
        <v>62263.0000000028</v>
      </c>
      <c r="D37" s="9">
        <v>14468.68</v>
      </c>
      <c r="E37" s="9">
        <v>117578.968753809</v>
      </c>
      <c r="F37" s="9">
        <v>2.58</v>
      </c>
      <c r="G37" s="9">
        <v>5.78390094095615</v>
      </c>
      <c r="H37" s="9">
        <v>10.5550057088829</v>
      </c>
      <c r="I37" s="9">
        <v>4.195</v>
      </c>
      <c r="J37" s="9">
        <v>734.06</v>
      </c>
      <c r="K37" s="9">
        <v>26.66</v>
      </c>
      <c r="L37" s="9">
        <v>10334.767330381</v>
      </c>
      <c r="M37" s="9">
        <v>72656</v>
      </c>
      <c r="N37" s="9">
        <v>61.790037705894</v>
      </c>
      <c r="O37" s="9">
        <v>15.1</v>
      </c>
      <c r="P37" s="9">
        <v>27.4043</v>
      </c>
      <c r="Q37" s="9">
        <v>3.006286</v>
      </c>
      <c r="R37" s="9">
        <v>8.47551880555556</v>
      </c>
      <c r="S37" s="9">
        <v>1.64</v>
      </c>
      <c r="T37" s="9">
        <v>8657.32</v>
      </c>
      <c r="U37" s="30">
        <v>81.7008766445399</v>
      </c>
    </row>
    <row r="38" ht="15" spans="1:21">
      <c r="A38" s="14">
        <v>2016</v>
      </c>
      <c r="B38" s="14" t="s">
        <v>24</v>
      </c>
      <c r="C38" s="15">
        <v>53528.0000000026</v>
      </c>
      <c r="D38" s="9">
        <v>15445.26</v>
      </c>
      <c r="E38" s="9">
        <v>123201.346457572</v>
      </c>
      <c r="F38" s="9">
        <v>2.09</v>
      </c>
      <c r="G38" s="9">
        <v>5.88704540816642</v>
      </c>
      <c r="H38" s="9">
        <v>10.4699435296007</v>
      </c>
      <c r="I38" s="9">
        <v>7.9219</v>
      </c>
      <c r="J38" s="9">
        <v>742.17</v>
      </c>
      <c r="K38" s="9">
        <v>26.67</v>
      </c>
      <c r="L38" s="9">
        <v>13595.740007471</v>
      </c>
      <c r="M38" s="9">
        <v>80187</v>
      </c>
      <c r="N38" s="9">
        <v>61.2888978855744</v>
      </c>
      <c r="O38" s="9">
        <v>16.22</v>
      </c>
      <c r="P38" s="9">
        <v>28.0549</v>
      </c>
      <c r="Q38" s="9">
        <v>3.194051</v>
      </c>
      <c r="R38" s="9">
        <v>8.47551880555556</v>
      </c>
      <c r="S38" s="9">
        <v>1.64</v>
      </c>
      <c r="T38" s="9">
        <v>8657.32</v>
      </c>
      <c r="U38" s="30">
        <v>81.1505457822196</v>
      </c>
    </row>
    <row r="39" ht="15" spans="1:21">
      <c r="A39" s="14">
        <v>2017</v>
      </c>
      <c r="B39" s="14" t="s">
        <v>24</v>
      </c>
      <c r="C39" s="15">
        <v>53223.0000000022</v>
      </c>
      <c r="D39" s="9">
        <v>16997.47</v>
      </c>
      <c r="E39" s="9">
        <v>134697.440367699</v>
      </c>
      <c r="F39" s="9">
        <v>1.79</v>
      </c>
      <c r="G39" s="9">
        <v>7.00152980293203</v>
      </c>
      <c r="H39" s="9">
        <v>10.4219627979929</v>
      </c>
      <c r="I39" s="9">
        <v>9.5855</v>
      </c>
      <c r="J39" s="9">
        <v>746.4</v>
      </c>
      <c r="K39" s="9">
        <v>26.46</v>
      </c>
      <c r="L39" s="9">
        <v>15414.6525761647</v>
      </c>
      <c r="M39" s="9">
        <v>87431</v>
      </c>
      <c r="N39" s="9">
        <v>59.6945875076165</v>
      </c>
      <c r="O39" s="9">
        <v>16.91</v>
      </c>
      <c r="P39" s="9">
        <v>28.3899</v>
      </c>
      <c r="Q39" s="9">
        <v>3.198046</v>
      </c>
      <c r="R39" s="9">
        <v>8.47551880555556</v>
      </c>
      <c r="S39" s="9">
        <v>1.64</v>
      </c>
      <c r="T39" s="9">
        <v>8657.32</v>
      </c>
      <c r="U39" s="30">
        <v>49.5416213012414</v>
      </c>
    </row>
    <row r="40" ht="15" spans="1:21">
      <c r="A40" s="14">
        <v>2018</v>
      </c>
      <c r="B40" s="14" t="s">
        <v>24</v>
      </c>
      <c r="C40" s="15">
        <v>75837.0000000015</v>
      </c>
      <c r="D40" s="9">
        <v>18263.48</v>
      </c>
      <c r="E40" s="9">
        <v>144182.712423719</v>
      </c>
      <c r="F40" s="9">
        <v>1.64</v>
      </c>
      <c r="G40" s="9">
        <v>7.79839300254518</v>
      </c>
      <c r="H40" s="9">
        <v>10.6918834745624</v>
      </c>
      <c r="I40" s="9">
        <v>10.545</v>
      </c>
      <c r="J40" s="9">
        <v>749.25</v>
      </c>
      <c r="K40" s="9">
        <v>25.15</v>
      </c>
      <c r="L40" s="9">
        <v>16211.9933268385</v>
      </c>
      <c r="M40" s="9">
        <v>94124</v>
      </c>
      <c r="N40" s="9">
        <v>58.9203141436691</v>
      </c>
      <c r="O40" s="9">
        <v>16.03</v>
      </c>
      <c r="P40" s="9">
        <v>29.4529</v>
      </c>
      <c r="Q40" s="9">
        <v>3.209276</v>
      </c>
      <c r="R40" s="9">
        <v>8.47551880555556</v>
      </c>
      <c r="S40" s="9">
        <v>1.64</v>
      </c>
      <c r="T40" s="9">
        <v>8657.32</v>
      </c>
      <c r="U40" s="30">
        <v>44.6686835017101</v>
      </c>
    </row>
    <row r="41" ht="15" spans="1:21">
      <c r="A41" s="14">
        <v>2019</v>
      </c>
      <c r="B41" s="14" t="s">
        <v>24</v>
      </c>
      <c r="C41" s="15">
        <v>81145.0000000014</v>
      </c>
      <c r="D41" s="9">
        <v>19264.8</v>
      </c>
      <c r="E41" s="9">
        <v>151601.809954751</v>
      </c>
      <c r="F41" s="9">
        <v>1.65</v>
      </c>
      <c r="G41" s="9">
        <v>8.47930140792454</v>
      </c>
      <c r="H41" s="9">
        <v>11.1158693575848</v>
      </c>
      <c r="I41" s="9">
        <v>17.3503</v>
      </c>
      <c r="J41" s="9">
        <v>751.81</v>
      </c>
      <c r="K41" s="9">
        <v>24.9</v>
      </c>
      <c r="L41" s="9">
        <v>17604.5757380577</v>
      </c>
      <c r="M41" s="9">
        <v>105357</v>
      </c>
      <c r="N41" s="9">
        <v>57.7714960148042</v>
      </c>
      <c r="O41" s="9">
        <v>16.31</v>
      </c>
      <c r="P41" s="9">
        <v>30.7388</v>
      </c>
      <c r="Q41" s="9">
        <v>3.035726</v>
      </c>
      <c r="R41" s="9">
        <v>8.47551880555556</v>
      </c>
      <c r="S41" s="9">
        <v>2.2</v>
      </c>
      <c r="T41" s="9">
        <v>8657.32</v>
      </c>
      <c r="U41" s="30">
        <v>75.9447529261375</v>
      </c>
    </row>
    <row r="42" ht="15" spans="1:21">
      <c r="A42" s="14">
        <v>2020</v>
      </c>
      <c r="B42" s="14" t="s">
        <v>24</v>
      </c>
      <c r="C42" s="15">
        <v>138860.999999994</v>
      </c>
      <c r="D42" s="9">
        <v>20180.45</v>
      </c>
      <c r="E42" s="9">
        <v>158283.004957018</v>
      </c>
      <c r="F42" s="9">
        <v>1.89</v>
      </c>
      <c r="G42" s="9">
        <v>9.55507154817076</v>
      </c>
      <c r="H42" s="9">
        <v>11.2163504778139</v>
      </c>
      <c r="I42" s="9">
        <v>20.5034</v>
      </c>
      <c r="J42" s="9">
        <v>747.79</v>
      </c>
      <c r="K42" s="9">
        <v>26</v>
      </c>
      <c r="L42" s="9">
        <v>18518.4750341328</v>
      </c>
      <c r="M42" s="9">
        <v>112926</v>
      </c>
      <c r="N42" s="9">
        <v>54.9633092972337</v>
      </c>
      <c r="O42" s="9">
        <v>17.01</v>
      </c>
      <c r="P42" s="9">
        <v>32.4254</v>
      </c>
      <c r="Q42" s="9">
        <v>2.970461</v>
      </c>
      <c r="R42" s="9">
        <v>8.47551880555556</v>
      </c>
      <c r="S42" s="9">
        <v>0.8</v>
      </c>
      <c r="T42" s="9">
        <v>8657.32</v>
      </c>
      <c r="U42" s="30">
        <v>102.113252880467</v>
      </c>
    </row>
    <row r="43" ht="15" spans="1:21">
      <c r="A43" s="14">
        <v>2021</v>
      </c>
      <c r="B43" s="14" t="s">
        <v>24</v>
      </c>
      <c r="C43" s="15">
        <v>185133.000000007</v>
      </c>
      <c r="D43" s="9">
        <v>23168.21</v>
      </c>
      <c r="E43" s="9">
        <v>180328.2274008</v>
      </c>
      <c r="F43" s="9">
        <v>1.95</v>
      </c>
      <c r="G43" s="9">
        <v>9.16786004567094</v>
      </c>
      <c r="H43" s="9">
        <v>11.1519189441049</v>
      </c>
      <c r="I43" s="9">
        <v>17.5761</v>
      </c>
      <c r="J43" s="9">
        <v>748.77</v>
      </c>
      <c r="K43" s="9">
        <v>25.63</v>
      </c>
      <c r="L43" s="9">
        <v>19270.330530812</v>
      </c>
      <c r="M43" s="9">
        <v>125513</v>
      </c>
      <c r="N43" s="9">
        <v>60.5634169181147</v>
      </c>
      <c r="O43" s="9">
        <v>16.22</v>
      </c>
      <c r="P43" s="9">
        <v>33.8778</v>
      </c>
      <c r="Q43" s="9">
        <v>3.365415</v>
      </c>
      <c r="R43" s="9">
        <v>8.47551880555556</v>
      </c>
      <c r="S43" s="9">
        <v>1.8</v>
      </c>
      <c r="T43" s="9">
        <v>8657.32</v>
      </c>
      <c r="U43" s="30">
        <v>85.4988352478111</v>
      </c>
    </row>
    <row r="44" ht="15" spans="1:21">
      <c r="A44" s="14">
        <v>2022</v>
      </c>
      <c r="B44" s="14" t="s">
        <v>24</v>
      </c>
      <c r="C44" s="15">
        <v>164972.000000006</v>
      </c>
      <c r="D44" s="9">
        <v>23805.29</v>
      </c>
      <c r="E44" s="9">
        <v>184385.621117531</v>
      </c>
      <c r="F44" s="9">
        <v>2.09</v>
      </c>
      <c r="G44" s="9">
        <v>8.92655018021533</v>
      </c>
      <c r="H44" s="9">
        <v>10.8739276018062</v>
      </c>
      <c r="I44" s="9">
        <v>13.7296</v>
      </c>
      <c r="J44" s="9">
        <v>741.7</v>
      </c>
      <c r="K44" s="9">
        <v>26.2</v>
      </c>
      <c r="L44" s="9">
        <v>17821.8394148793</v>
      </c>
      <c r="M44" s="9">
        <v>130916</v>
      </c>
      <c r="N44" s="9">
        <v>59.6590266165432</v>
      </c>
      <c r="O44" s="9">
        <v>16.34</v>
      </c>
      <c r="P44" s="9">
        <v>34.9954</v>
      </c>
      <c r="Q44" s="9">
        <v>3.297172</v>
      </c>
      <c r="R44" s="9">
        <v>8.47551880555556</v>
      </c>
      <c r="S44" s="9">
        <v>1.8</v>
      </c>
      <c r="T44" s="9">
        <v>8657.32</v>
      </c>
      <c r="U44" s="30">
        <v>194.129465687198</v>
      </c>
    </row>
    <row r="45" s="4" customFormat="1" ht="15" spans="1:21">
      <c r="A45" s="16">
        <v>2023</v>
      </c>
      <c r="B45" s="16" t="s">
        <v>24</v>
      </c>
      <c r="C45" s="17">
        <v>130771.000000006</v>
      </c>
      <c r="D45" s="4">
        <v>24653.37</v>
      </c>
      <c r="E45" s="4">
        <v>190255.980861244</v>
      </c>
      <c r="F45" s="4">
        <v>1.97</v>
      </c>
      <c r="G45" s="4">
        <v>10.2949703961423</v>
      </c>
      <c r="H45" s="4">
        <v>10.6325423258565</v>
      </c>
      <c r="I45" s="4">
        <v>13.0673</v>
      </c>
      <c r="J45" s="4">
        <v>747.4</v>
      </c>
      <c r="K45" s="4">
        <v>26.04</v>
      </c>
      <c r="L45" s="4">
        <v>17560.8929088686</v>
      </c>
      <c r="M45" s="4">
        <v>137092</v>
      </c>
      <c r="N45" s="4">
        <v>61.0394148622106</v>
      </c>
      <c r="O45" s="4">
        <v>17.93</v>
      </c>
      <c r="P45" s="4">
        <v>35.8895</v>
      </c>
      <c r="Q45" s="4">
        <v>3.186101</v>
      </c>
      <c r="R45" s="4">
        <v>8.47551880555556</v>
      </c>
      <c r="S45" s="4">
        <v>1.6</v>
      </c>
      <c r="T45" s="4">
        <v>8657.32</v>
      </c>
      <c r="U45" s="31">
        <v>81.6951231015942</v>
      </c>
    </row>
    <row r="46" ht="15" spans="1:21">
      <c r="A46" s="14">
        <v>2013</v>
      </c>
      <c r="B46" s="14" t="s">
        <v>25</v>
      </c>
      <c r="C46" s="15">
        <v>41517.9999999984</v>
      </c>
      <c r="D46" s="9">
        <v>8343.52</v>
      </c>
      <c r="E46" s="9">
        <v>89649</v>
      </c>
      <c r="F46" s="9">
        <v>3.92</v>
      </c>
      <c r="G46" s="9">
        <v>5.40584757052376</v>
      </c>
      <c r="H46" s="9">
        <v>10.2563426467486</v>
      </c>
      <c r="I46" s="9">
        <v>2.9036</v>
      </c>
      <c r="J46" s="9">
        <v>606.89</v>
      </c>
      <c r="K46" s="9">
        <v>25.86</v>
      </c>
      <c r="L46" s="9">
        <v>14679</v>
      </c>
      <c r="M46" s="9">
        <v>64958</v>
      </c>
      <c r="N46" s="9">
        <v>74.9150885766646</v>
      </c>
      <c r="O46" s="9">
        <v>18.98</v>
      </c>
      <c r="P46" s="9">
        <v>47.182</v>
      </c>
      <c r="Q46" s="9">
        <v>1.97613</v>
      </c>
      <c r="R46" s="9">
        <v>8.16</v>
      </c>
      <c r="S46" s="9">
        <v>4.64</v>
      </c>
      <c r="T46" s="9">
        <v>16850</v>
      </c>
      <c r="U46" s="30">
        <v>98.24</v>
      </c>
    </row>
    <row r="47" ht="15" spans="1:21">
      <c r="A47" s="14">
        <v>2014</v>
      </c>
      <c r="B47" s="14" t="s">
        <v>25</v>
      </c>
      <c r="C47" s="15">
        <v>33548</v>
      </c>
      <c r="D47" s="9">
        <v>9206.16</v>
      </c>
      <c r="E47" s="9">
        <v>95313</v>
      </c>
      <c r="F47" s="9">
        <v>4.23</v>
      </c>
      <c r="G47" s="9">
        <v>5.45267275640359</v>
      </c>
      <c r="H47" s="9">
        <v>10.4406180209773</v>
      </c>
      <c r="I47" s="9">
        <v>4.3766</v>
      </c>
      <c r="J47" s="9">
        <v>613.64</v>
      </c>
      <c r="K47" s="9">
        <v>27.01</v>
      </c>
      <c r="L47" s="9">
        <v>14035</v>
      </c>
      <c r="M47" s="9">
        <v>70823</v>
      </c>
      <c r="N47" s="9">
        <v>72.0671267252196</v>
      </c>
      <c r="O47" s="9">
        <v>19.01</v>
      </c>
      <c r="P47" s="9">
        <v>47.47</v>
      </c>
      <c r="Q47" s="9">
        <v>2.08349</v>
      </c>
      <c r="R47" s="9">
        <v>9.02</v>
      </c>
      <c r="S47" s="9">
        <v>4.64</v>
      </c>
      <c r="T47" s="9">
        <v>16850</v>
      </c>
      <c r="U47" s="30">
        <v>98.9659649448206</v>
      </c>
    </row>
    <row r="48" ht="15" spans="1:21">
      <c r="A48" s="14">
        <v>2015</v>
      </c>
      <c r="B48" s="14" t="s">
        <v>25</v>
      </c>
      <c r="C48" s="15">
        <v>46245.0000000018</v>
      </c>
      <c r="D48" s="9">
        <v>10050.21</v>
      </c>
      <c r="E48" s="9">
        <v>102318</v>
      </c>
      <c r="F48" s="9">
        <v>4.41</v>
      </c>
      <c r="G48" s="9">
        <v>5.81925871851876</v>
      </c>
      <c r="H48" s="9">
        <v>11.9945752377314</v>
      </c>
      <c r="I48" s="9">
        <v>5.0796</v>
      </c>
      <c r="J48" s="9">
        <v>627.7</v>
      </c>
      <c r="K48" s="9">
        <v>27.12</v>
      </c>
      <c r="L48" s="9">
        <v>14748</v>
      </c>
      <c r="M48" s="9">
        <v>77816</v>
      </c>
      <c r="N48" s="9">
        <v>69.9933769351768</v>
      </c>
      <c r="O48" s="9">
        <v>18.54</v>
      </c>
      <c r="P48" s="9">
        <v>47.5558</v>
      </c>
      <c r="Q48" s="9">
        <v>2.044406</v>
      </c>
      <c r="R48" s="9">
        <v>9.43</v>
      </c>
      <c r="S48" s="9">
        <v>4.64</v>
      </c>
      <c r="T48" s="9">
        <v>16850</v>
      </c>
      <c r="U48" s="30">
        <v>98.3875362833957</v>
      </c>
    </row>
    <row r="49" ht="15" spans="1:21">
      <c r="A49" s="14">
        <v>2016</v>
      </c>
      <c r="B49" s="14" t="s">
        <v>25</v>
      </c>
      <c r="C49" s="15">
        <v>41051.9999999998</v>
      </c>
      <c r="D49" s="9">
        <v>11313.72</v>
      </c>
      <c r="E49" s="9">
        <v>111572</v>
      </c>
      <c r="F49" s="9">
        <v>4.23</v>
      </c>
      <c r="G49" s="9">
        <v>5.33500437937492</v>
      </c>
      <c r="H49" s="9">
        <v>12.4124514306523</v>
      </c>
      <c r="I49" s="9">
        <v>7.0089</v>
      </c>
      <c r="J49" s="9">
        <v>641.45</v>
      </c>
      <c r="K49" s="9">
        <v>27.87</v>
      </c>
      <c r="L49" s="9">
        <v>16211</v>
      </c>
      <c r="M49" s="9">
        <v>87153</v>
      </c>
      <c r="N49" s="9">
        <v>68.3836351441985</v>
      </c>
      <c r="O49" s="9">
        <v>18.02</v>
      </c>
      <c r="P49" s="9">
        <v>42.7978</v>
      </c>
      <c r="Q49" s="9">
        <v>2.18525</v>
      </c>
      <c r="R49" s="9">
        <v>9.47</v>
      </c>
      <c r="S49" s="9">
        <v>4.64</v>
      </c>
      <c r="T49" s="9">
        <v>16850</v>
      </c>
      <c r="U49" s="30">
        <v>98.7036113683311</v>
      </c>
    </row>
    <row r="50" ht="15" spans="1:21">
      <c r="A50" s="14">
        <v>2017</v>
      </c>
      <c r="B50" s="14" t="s">
        <v>25</v>
      </c>
      <c r="C50" s="15">
        <v>42226.9999999994</v>
      </c>
      <c r="D50" s="9">
        <v>12603.36</v>
      </c>
      <c r="E50" s="9">
        <v>122249</v>
      </c>
      <c r="F50" s="9">
        <v>3.55</v>
      </c>
      <c r="G50" s="9">
        <v>5.99122602081873</v>
      </c>
      <c r="H50" s="9">
        <v>12.2262634725978</v>
      </c>
      <c r="I50" s="9">
        <v>13.2963</v>
      </c>
      <c r="J50" s="9">
        <v>658.37</v>
      </c>
      <c r="K50" s="9">
        <v>27.27</v>
      </c>
      <c r="L50" s="9">
        <v>21225</v>
      </c>
      <c r="M50" s="9">
        <v>96670</v>
      </c>
      <c r="N50" s="9">
        <v>67.8424195038738</v>
      </c>
      <c r="O50" s="9">
        <v>18.13</v>
      </c>
      <c r="P50" s="9">
        <v>42.5769</v>
      </c>
      <c r="Q50" s="9">
        <v>2.34299</v>
      </c>
      <c r="R50" s="9">
        <v>10.32</v>
      </c>
      <c r="S50" s="9">
        <v>4.64</v>
      </c>
      <c r="T50" s="9">
        <v>16850</v>
      </c>
      <c r="U50" s="30">
        <v>99.4765981204056</v>
      </c>
    </row>
    <row r="51" ht="15" spans="1:21">
      <c r="A51" s="14">
        <v>2018</v>
      </c>
      <c r="B51" s="14" t="s">
        <v>25</v>
      </c>
      <c r="C51" s="15">
        <v>55378.9999999994</v>
      </c>
      <c r="D51" s="9">
        <v>13509.15</v>
      </c>
      <c r="E51" s="9">
        <v>129035</v>
      </c>
      <c r="F51" s="9">
        <v>3.34</v>
      </c>
      <c r="G51" s="9">
        <v>6.53493139515922</v>
      </c>
      <c r="H51" s="9">
        <v>12.7104962192292</v>
      </c>
      <c r="I51" s="9">
        <v>15.5444</v>
      </c>
      <c r="J51" s="9">
        <v>685.86</v>
      </c>
      <c r="K51" s="9">
        <v>24.41</v>
      </c>
      <c r="L51" s="9">
        <v>24360.2</v>
      </c>
      <c r="M51" s="9">
        <v>106709</v>
      </c>
      <c r="N51" s="9">
        <v>68.029490616622</v>
      </c>
      <c r="O51" s="9">
        <v>18.37</v>
      </c>
      <c r="P51" s="9">
        <v>43.1965</v>
      </c>
      <c r="Q51" s="9">
        <v>2.580815</v>
      </c>
      <c r="R51" s="9">
        <v>10.95</v>
      </c>
      <c r="S51" s="9">
        <v>4.64</v>
      </c>
      <c r="T51" s="9">
        <v>16850</v>
      </c>
      <c r="U51" s="30">
        <v>100.614932821073</v>
      </c>
    </row>
    <row r="52" ht="15" spans="1:21">
      <c r="A52" s="14">
        <v>2019</v>
      </c>
      <c r="B52" s="14" t="s">
        <v>25</v>
      </c>
      <c r="C52" s="15">
        <v>122519.999999999</v>
      </c>
      <c r="D52" s="9">
        <v>15373</v>
      </c>
      <c r="E52" s="9">
        <v>134856</v>
      </c>
      <c r="F52" s="9">
        <v>2.75</v>
      </c>
      <c r="G52" s="9">
        <v>7.58839644621963</v>
      </c>
      <c r="H52" s="9">
        <v>12.7031158524686</v>
      </c>
      <c r="I52" s="9">
        <v>15.901</v>
      </c>
      <c r="J52" s="9">
        <v>726.57</v>
      </c>
      <c r="K52" s="9">
        <v>24.17</v>
      </c>
      <c r="L52" s="9">
        <v>26522</v>
      </c>
      <c r="M52" s="9">
        <v>120308</v>
      </c>
      <c r="N52" s="9">
        <v>66.7130834897378</v>
      </c>
      <c r="O52" s="9">
        <v>18.62</v>
      </c>
      <c r="P52" s="9">
        <v>44.6683</v>
      </c>
      <c r="Q52" s="9">
        <v>2.559749</v>
      </c>
      <c r="R52" s="9">
        <v>12.63</v>
      </c>
      <c r="S52" s="9">
        <v>4.6</v>
      </c>
      <c r="T52" s="9">
        <v>16850</v>
      </c>
      <c r="U52" s="30">
        <v>98.9194409421359</v>
      </c>
    </row>
    <row r="53" ht="15" spans="1:21">
      <c r="A53" s="14">
        <v>2020</v>
      </c>
      <c r="B53" s="14" t="s">
        <v>25</v>
      </c>
      <c r="C53" s="15">
        <v>92399.000000001</v>
      </c>
      <c r="D53" s="9">
        <v>16106</v>
      </c>
      <c r="E53" s="9">
        <v>137474</v>
      </c>
      <c r="F53" s="9">
        <v>3.08</v>
      </c>
      <c r="G53" s="9">
        <v>6.97312602069905</v>
      </c>
      <c r="H53" s="9">
        <v>12.8502421457842</v>
      </c>
      <c r="I53" s="9">
        <v>14.7573</v>
      </c>
      <c r="J53" s="9">
        <v>748.39</v>
      </c>
      <c r="K53" s="9">
        <v>25.57</v>
      </c>
      <c r="L53" s="9">
        <v>27448</v>
      </c>
      <c r="M53" s="9">
        <v>132188</v>
      </c>
      <c r="N53" s="9">
        <v>61.0433111001078</v>
      </c>
      <c r="O53" s="9">
        <v>19.53</v>
      </c>
      <c r="P53" s="9">
        <v>46.5963</v>
      </c>
      <c r="Q53" s="9">
        <v>2.455287</v>
      </c>
      <c r="R53" s="9">
        <v>14.94</v>
      </c>
      <c r="S53" s="9">
        <v>3.8</v>
      </c>
      <c r="T53" s="9">
        <v>16850</v>
      </c>
      <c r="U53" s="30">
        <v>99.9522510231923</v>
      </c>
    </row>
    <row r="54" ht="15" spans="1:21">
      <c r="A54" s="14">
        <v>2021</v>
      </c>
      <c r="B54" s="14" t="s">
        <v>25</v>
      </c>
      <c r="C54" s="15">
        <v>122519.999999999</v>
      </c>
      <c r="D54" s="9">
        <v>18109.42</v>
      </c>
      <c r="E54" s="9">
        <v>150998</v>
      </c>
      <c r="F54" s="9">
        <v>2.91</v>
      </c>
      <c r="G54" s="9">
        <v>7.51116202070199</v>
      </c>
      <c r="H54" s="9">
        <v>13.2088161851677</v>
      </c>
      <c r="I54" s="9">
        <v>18.36686</v>
      </c>
      <c r="J54" s="9">
        <v>759.68</v>
      </c>
      <c r="K54" s="9">
        <v>24.94</v>
      </c>
      <c r="L54" s="9">
        <v>29781</v>
      </c>
      <c r="M54" s="9">
        <v>151121</v>
      </c>
      <c r="N54" s="9">
        <v>65.09906291834</v>
      </c>
      <c r="O54" s="9">
        <v>19.49</v>
      </c>
      <c r="P54" s="9">
        <v>58.521</v>
      </c>
      <c r="Q54" s="9">
        <v>2.718471</v>
      </c>
      <c r="R54" s="9">
        <v>13.81</v>
      </c>
      <c r="S54" s="9">
        <v>4.8</v>
      </c>
      <c r="T54" s="9">
        <v>16850</v>
      </c>
      <c r="U54" s="30">
        <v>99.626139301794</v>
      </c>
    </row>
    <row r="55" ht="15" spans="1:21">
      <c r="A55" s="14">
        <v>2022</v>
      </c>
      <c r="B55" s="14" t="s">
        <v>25</v>
      </c>
      <c r="C55" s="15">
        <v>121196</v>
      </c>
      <c r="D55" s="9">
        <v>18753.07</v>
      </c>
      <c r="E55" s="9">
        <v>154234</v>
      </c>
      <c r="F55" s="9">
        <v>2.79</v>
      </c>
      <c r="G55" s="9">
        <v>8.17162256253712</v>
      </c>
      <c r="H55" s="9">
        <v>13.5555938307701</v>
      </c>
      <c r="I55" s="9">
        <v>10.134</v>
      </c>
      <c r="J55" s="9">
        <v>758.64</v>
      </c>
      <c r="K55" s="9">
        <v>24.71</v>
      </c>
      <c r="L55" s="9">
        <v>33669</v>
      </c>
      <c r="M55" s="9">
        <v>157205</v>
      </c>
      <c r="N55" s="9">
        <v>65.3349428241372</v>
      </c>
      <c r="O55" s="9">
        <v>19.67</v>
      </c>
      <c r="P55" s="9">
        <v>50.115</v>
      </c>
      <c r="Q55" s="9">
        <v>2.699224</v>
      </c>
      <c r="R55" s="9">
        <v>16.58</v>
      </c>
      <c r="S55" s="9">
        <v>4.6</v>
      </c>
      <c r="T55" s="9">
        <v>16850</v>
      </c>
      <c r="U55" s="30">
        <v>98.0610580284314</v>
      </c>
    </row>
    <row r="56" s="4" customFormat="1" ht="15" spans="1:21">
      <c r="A56" s="16">
        <v>2023</v>
      </c>
      <c r="B56" s="16" t="s">
        <v>25</v>
      </c>
      <c r="C56" s="17">
        <v>107674.999999999</v>
      </c>
      <c r="D56" s="4">
        <v>20059</v>
      </c>
      <c r="E56" s="4">
        <v>161129</v>
      </c>
      <c r="F56" s="4">
        <v>3.1</v>
      </c>
      <c r="G56" s="4">
        <v>9.21429465562565</v>
      </c>
      <c r="H56" s="4">
        <v>13.1423799790618</v>
      </c>
      <c r="I56" s="4">
        <v>12.9867</v>
      </c>
      <c r="J56" s="4">
        <v>770.02</v>
      </c>
      <c r="K56" s="4">
        <v>24.14</v>
      </c>
      <c r="L56" s="4">
        <v>33047</v>
      </c>
      <c r="M56" s="4">
        <v>157205</v>
      </c>
      <c r="N56" s="4">
        <v>67.1361385831462</v>
      </c>
      <c r="O56" s="4">
        <v>21.25</v>
      </c>
      <c r="P56" s="4">
        <v>51.4304</v>
      </c>
      <c r="Q56" s="4">
        <v>2.753276</v>
      </c>
      <c r="R56" s="4">
        <v>20.66</v>
      </c>
      <c r="S56" s="4">
        <v>5.4</v>
      </c>
      <c r="T56" s="4">
        <v>16850</v>
      </c>
      <c r="U56" s="31">
        <v>99.9211290038517</v>
      </c>
    </row>
    <row r="57" ht="15" spans="1:21">
      <c r="A57" s="14">
        <v>2013</v>
      </c>
      <c r="B57" s="14" t="s">
        <v>26</v>
      </c>
      <c r="C57" s="15">
        <v>58406</v>
      </c>
      <c r="D57" s="9">
        <v>7128.87</v>
      </c>
      <c r="E57" s="9">
        <v>91432</v>
      </c>
      <c r="F57" s="9">
        <v>2.85</v>
      </c>
      <c r="G57" s="9">
        <v>4.00045154032812</v>
      </c>
      <c r="H57" s="9">
        <v>13.1843321592342</v>
      </c>
      <c r="I57" s="9">
        <v>1.1848</v>
      </c>
      <c r="J57" s="9">
        <v>473.6</v>
      </c>
      <c r="K57" s="9">
        <v>34.3</v>
      </c>
      <c r="L57" s="9">
        <v>11405</v>
      </c>
      <c r="M57" s="9">
        <v>63362</v>
      </c>
      <c r="N57" s="9">
        <v>59.155503366963</v>
      </c>
      <c r="O57" s="9">
        <v>15.8</v>
      </c>
      <c r="P57" s="9">
        <v>14.8954</v>
      </c>
      <c r="Q57" s="9">
        <v>1.815277</v>
      </c>
      <c r="R57" s="9">
        <v>6.3972</v>
      </c>
      <c r="S57" s="9">
        <v>1.6</v>
      </c>
      <c r="T57" s="9">
        <v>9816</v>
      </c>
      <c r="U57" s="30">
        <v>98.57</v>
      </c>
    </row>
    <row r="58" ht="15" spans="1:21">
      <c r="A58" s="14">
        <v>2014</v>
      </c>
      <c r="B58" s="14" t="s">
        <v>26</v>
      </c>
      <c r="C58" s="15">
        <v>43286</v>
      </c>
      <c r="D58" s="9">
        <v>7610.28</v>
      </c>
      <c r="E58" s="9">
        <v>95055</v>
      </c>
      <c r="F58" s="9">
        <v>3.25</v>
      </c>
      <c r="G58" s="9">
        <v>4.2784563578208</v>
      </c>
      <c r="H58" s="9">
        <v>13.1513728798415</v>
      </c>
      <c r="I58" s="9">
        <v>1.8246</v>
      </c>
      <c r="J58" s="9">
        <v>484.26</v>
      </c>
      <c r="K58" s="9">
        <v>30.1</v>
      </c>
      <c r="L58" s="9">
        <v>10890</v>
      </c>
      <c r="M58" s="9">
        <v>70228</v>
      </c>
      <c r="N58" s="9">
        <v>63.1706488506398</v>
      </c>
      <c r="O58" s="9">
        <v>15.95</v>
      </c>
      <c r="P58" s="9">
        <v>15.0854</v>
      </c>
      <c r="Q58" s="9">
        <v>1.900047</v>
      </c>
      <c r="R58" s="9">
        <v>6.707</v>
      </c>
      <c r="S58" s="9">
        <v>1.6</v>
      </c>
      <c r="T58" s="9">
        <v>9816</v>
      </c>
      <c r="U58" s="30">
        <v>100.135020045284</v>
      </c>
    </row>
    <row r="59" ht="15" spans="1:21">
      <c r="A59" s="14">
        <v>2015</v>
      </c>
      <c r="B59" s="14" t="s">
        <v>26</v>
      </c>
      <c r="C59" s="15">
        <v>46088</v>
      </c>
      <c r="D59" s="9">
        <v>8003.61</v>
      </c>
      <c r="E59" s="9">
        <v>97604</v>
      </c>
      <c r="F59" s="9">
        <v>3.29</v>
      </c>
      <c r="G59" s="9">
        <v>3.77677094115594</v>
      </c>
      <c r="H59" s="9">
        <v>15.6508900358713</v>
      </c>
      <c r="I59" s="9">
        <v>1.8101</v>
      </c>
      <c r="J59" s="9">
        <v>495.35</v>
      </c>
      <c r="K59" s="9">
        <v>28.07</v>
      </c>
      <c r="L59" s="9">
        <v>11022</v>
      </c>
      <c r="M59" s="9">
        <v>74989</v>
      </c>
      <c r="N59" s="9">
        <v>61.9514335868929</v>
      </c>
      <c r="O59" s="9">
        <v>15.22</v>
      </c>
      <c r="P59" s="9">
        <v>15.5767</v>
      </c>
      <c r="Q59" s="9">
        <v>1.847045</v>
      </c>
      <c r="R59" s="9">
        <v>7.2138</v>
      </c>
      <c r="S59" s="9">
        <v>1.6</v>
      </c>
      <c r="T59" s="9">
        <v>9816</v>
      </c>
      <c r="U59" s="30">
        <v>97.71692980449</v>
      </c>
    </row>
    <row r="60" ht="15" spans="1:21">
      <c r="A60" s="14">
        <v>2016</v>
      </c>
      <c r="B60" s="14" t="s">
        <v>26</v>
      </c>
      <c r="C60" s="15">
        <v>40792</v>
      </c>
      <c r="D60" s="9">
        <v>8686.49</v>
      </c>
      <c r="E60" s="9">
        <v>103672</v>
      </c>
      <c r="F60" s="9">
        <v>3.45</v>
      </c>
      <c r="G60" s="9">
        <v>4.39187561920205</v>
      </c>
      <c r="H60" s="9">
        <v>14.8421295598107</v>
      </c>
      <c r="I60" s="9">
        <v>2.7446</v>
      </c>
      <c r="J60" s="9">
        <v>513.27</v>
      </c>
      <c r="K60" s="9">
        <v>29.2</v>
      </c>
      <c r="L60" s="9">
        <v>11738</v>
      </c>
      <c r="M60" s="9">
        <v>83656</v>
      </c>
      <c r="N60" s="9">
        <v>61.2567882079131</v>
      </c>
      <c r="O60" s="9">
        <v>15.39</v>
      </c>
      <c r="P60" s="9">
        <v>15.5144</v>
      </c>
      <c r="Q60" s="9">
        <v>1.990151</v>
      </c>
      <c r="R60" s="9">
        <v>7.0079</v>
      </c>
      <c r="S60" s="9">
        <v>1.6</v>
      </c>
      <c r="T60" s="9">
        <v>9816</v>
      </c>
      <c r="U60" s="30">
        <v>97.4212160262418</v>
      </c>
    </row>
    <row r="61" ht="15" spans="1:21">
      <c r="A61" s="14">
        <v>2017</v>
      </c>
      <c r="B61" s="14" t="s">
        <v>26</v>
      </c>
      <c r="C61" s="15">
        <v>36993</v>
      </c>
      <c r="D61" s="9">
        <v>9842.1</v>
      </c>
      <c r="E61" s="9">
        <v>115099</v>
      </c>
      <c r="F61" s="9">
        <v>2.77</v>
      </c>
      <c r="G61" s="9">
        <v>4.16757378341731</v>
      </c>
      <c r="H61" s="9">
        <v>14.3323569156989</v>
      </c>
      <c r="I61" s="9">
        <v>4.1822</v>
      </c>
      <c r="J61" s="9">
        <v>529.21</v>
      </c>
      <c r="K61" s="9">
        <v>27.83</v>
      </c>
      <c r="L61" s="9">
        <v>14145</v>
      </c>
      <c r="M61" s="9">
        <v>91705</v>
      </c>
      <c r="N61" s="9">
        <v>59.6467586603421</v>
      </c>
      <c r="O61" s="9">
        <v>15.21</v>
      </c>
      <c r="P61" s="9">
        <v>15.611</v>
      </c>
      <c r="Q61" s="9">
        <v>2.113451</v>
      </c>
      <c r="R61" s="9">
        <v>7.5304</v>
      </c>
      <c r="S61" s="9">
        <v>1.6</v>
      </c>
      <c r="T61" s="9">
        <v>9816</v>
      </c>
      <c r="U61" s="30">
        <v>99.68761087218</v>
      </c>
    </row>
    <row r="62" ht="15" spans="1:21">
      <c r="A62" s="14">
        <v>2018</v>
      </c>
      <c r="B62" s="14" t="s">
        <v>26</v>
      </c>
      <c r="C62" s="15">
        <v>44777</v>
      </c>
      <c r="D62" s="9">
        <v>10745.46</v>
      </c>
      <c r="E62" s="9">
        <v>124244</v>
      </c>
      <c r="F62" s="9">
        <v>2.66</v>
      </c>
      <c r="G62" s="9">
        <v>4.91890515995223</v>
      </c>
      <c r="H62" s="9">
        <v>14.8071836850167</v>
      </c>
      <c r="I62" s="9">
        <v>4.9762</v>
      </c>
      <c r="J62" s="9">
        <v>555.39</v>
      </c>
      <c r="K62" s="9">
        <v>27.48</v>
      </c>
      <c r="L62" s="9">
        <v>16201.58</v>
      </c>
      <c r="M62" s="9">
        <v>102325</v>
      </c>
      <c r="N62" s="9">
        <v>61.0503209498786</v>
      </c>
      <c r="O62" s="9">
        <v>14.05</v>
      </c>
      <c r="P62" s="9">
        <v>14.9804</v>
      </c>
      <c r="Q62" s="9">
        <v>2.23826</v>
      </c>
      <c r="R62" s="9">
        <v>8.6893</v>
      </c>
      <c r="S62" s="9">
        <v>1.6</v>
      </c>
      <c r="T62" s="9">
        <v>9816</v>
      </c>
      <c r="U62" s="30">
        <v>99.9933581296495</v>
      </c>
    </row>
    <row r="63" ht="15" spans="1:21">
      <c r="A63" s="14">
        <v>2019</v>
      </c>
      <c r="B63" s="14" t="s">
        <v>26</v>
      </c>
      <c r="C63" s="15">
        <v>47220</v>
      </c>
      <c r="D63" s="9">
        <v>11985</v>
      </c>
      <c r="E63" s="9">
        <v>130752</v>
      </c>
      <c r="F63" s="9">
        <v>1.36</v>
      </c>
      <c r="G63" s="9">
        <v>7.02285974321359</v>
      </c>
      <c r="H63" s="9">
        <v>14.7508510638298</v>
      </c>
      <c r="I63" s="9">
        <v>4.2497</v>
      </c>
      <c r="J63" s="9">
        <v>569.45</v>
      </c>
      <c r="K63" s="9">
        <v>26.98</v>
      </c>
      <c r="L63" s="9">
        <v>15956</v>
      </c>
      <c r="M63" s="9">
        <v>110878</v>
      </c>
      <c r="N63" s="9">
        <v>58.9865302222359</v>
      </c>
      <c r="O63" s="9">
        <v>14.22</v>
      </c>
      <c r="P63" s="9">
        <v>15.6455</v>
      </c>
      <c r="Q63" s="9">
        <v>2.165991</v>
      </c>
      <c r="R63" s="9">
        <v>9.2265</v>
      </c>
      <c r="S63" s="9">
        <v>1.8</v>
      </c>
      <c r="T63" s="9">
        <v>9816</v>
      </c>
      <c r="U63" s="30">
        <v>98.6938703067267</v>
      </c>
    </row>
    <row r="64" ht="15" spans="1:21">
      <c r="A64" s="14">
        <v>2020</v>
      </c>
      <c r="B64" s="14" t="s">
        <v>26</v>
      </c>
      <c r="C64" s="15">
        <v>60520</v>
      </c>
      <c r="D64" s="9">
        <v>12409</v>
      </c>
      <c r="E64" s="9">
        <v>134650</v>
      </c>
      <c r="F64" s="9">
        <v>1.37</v>
      </c>
      <c r="G64" s="9">
        <v>6.4631817064559</v>
      </c>
      <c r="H64" s="9">
        <v>14.0389056330083</v>
      </c>
      <c r="I64" s="9">
        <v>4.7567</v>
      </c>
      <c r="J64" s="9">
        <v>589.43</v>
      </c>
      <c r="K64" s="9">
        <v>27.93</v>
      </c>
      <c r="L64" s="9">
        <v>17657</v>
      </c>
      <c r="M64" s="9">
        <v>111286</v>
      </c>
      <c r="N64" s="9">
        <v>56.9080108222562</v>
      </c>
      <c r="O64" s="9">
        <v>15.47</v>
      </c>
      <c r="P64" s="9">
        <v>16.831</v>
      </c>
      <c r="Q64" s="9">
        <v>2.112199</v>
      </c>
      <c r="R64" s="9">
        <v>9.3383</v>
      </c>
      <c r="S64" s="9">
        <v>1.2</v>
      </c>
      <c r="T64" s="9">
        <v>9816</v>
      </c>
      <c r="U64" s="30">
        <v>96.0259433962263</v>
      </c>
    </row>
    <row r="65" ht="15" spans="1:21">
      <c r="A65" s="14">
        <v>2021</v>
      </c>
      <c r="B65" s="14" t="s">
        <v>26</v>
      </c>
      <c r="C65" s="15">
        <v>72390</v>
      </c>
      <c r="D65" s="9">
        <v>14594.92</v>
      </c>
      <c r="E65" s="9">
        <v>155064</v>
      </c>
      <c r="F65" s="9">
        <v>1.45</v>
      </c>
      <c r="G65" s="9">
        <v>6.74916856775181</v>
      </c>
      <c r="H65" s="9">
        <v>13.3225519564342</v>
      </c>
      <c r="I65" s="9">
        <v>5.2199</v>
      </c>
      <c r="J65" s="9">
        <v>600.1</v>
      </c>
      <c r="K65" s="9">
        <v>27.23</v>
      </c>
      <c r="L65" s="9">
        <v>21152</v>
      </c>
      <c r="M65" s="9">
        <v>127011</v>
      </c>
      <c r="N65" s="9">
        <v>61.4087100136729</v>
      </c>
      <c r="O65" s="9">
        <v>14.63</v>
      </c>
      <c r="P65" s="9">
        <v>17.4118</v>
      </c>
      <c r="Q65" s="9">
        <v>2.294152</v>
      </c>
      <c r="R65" s="9">
        <v>10.117</v>
      </c>
      <c r="S65" s="9">
        <v>1.6</v>
      </c>
      <c r="T65" s="9">
        <v>9816</v>
      </c>
      <c r="U65" s="30">
        <v>99.2149758454106</v>
      </c>
    </row>
    <row r="66" ht="15" spans="1:21">
      <c r="A66" s="14">
        <v>2022</v>
      </c>
      <c r="B66" s="14" t="s">
        <v>26</v>
      </c>
      <c r="C66" s="15">
        <v>76127</v>
      </c>
      <c r="D66" s="9">
        <v>15704.3</v>
      </c>
      <c r="E66" s="9">
        <v>164037</v>
      </c>
      <c r="F66" s="9">
        <v>1.59</v>
      </c>
      <c r="G66" s="9">
        <v>6.90166295268431</v>
      </c>
      <c r="H66" s="9">
        <v>13.9313009812599</v>
      </c>
      <c r="I66" s="9">
        <v>3.5157</v>
      </c>
      <c r="J66" s="9">
        <v>599.02</v>
      </c>
      <c r="K66" s="9">
        <v>28.53</v>
      </c>
      <c r="L66" s="9">
        <v>19136</v>
      </c>
      <c r="M66" s="9">
        <v>134567</v>
      </c>
      <c r="N66" s="9">
        <v>62.4801147476855</v>
      </c>
      <c r="O66" s="9">
        <v>13.66</v>
      </c>
      <c r="P66" s="9">
        <v>17.9313</v>
      </c>
      <c r="Q66" s="9">
        <v>2.340473</v>
      </c>
      <c r="R66" s="9">
        <v>10.838</v>
      </c>
      <c r="S66" s="9">
        <v>1.6</v>
      </c>
      <c r="T66" s="9">
        <v>9816</v>
      </c>
      <c r="U66" s="30">
        <v>97.6716724657016</v>
      </c>
    </row>
    <row r="67" s="4" customFormat="1" ht="15" spans="1:21">
      <c r="A67" s="16">
        <v>2023</v>
      </c>
      <c r="B67" s="16" t="s">
        <v>26</v>
      </c>
      <c r="C67" s="17">
        <v>64411</v>
      </c>
      <c r="D67" s="4">
        <v>16453</v>
      </c>
      <c r="E67" s="4">
        <v>170363</v>
      </c>
      <c r="F67" s="4">
        <v>2.01</v>
      </c>
      <c r="G67" s="4">
        <v>8.15017477561574</v>
      </c>
      <c r="H67" s="4">
        <v>13.5847225430013</v>
      </c>
      <c r="I67" s="4">
        <v>3.1692</v>
      </c>
      <c r="J67" s="4">
        <v>607.38</v>
      </c>
      <c r="K67" s="4">
        <v>25.57</v>
      </c>
      <c r="L67" s="4">
        <v>19546</v>
      </c>
      <c r="M67" s="4">
        <v>133967</v>
      </c>
      <c r="N67" s="4">
        <v>62.8206727889798</v>
      </c>
      <c r="O67" s="4">
        <v>14.22</v>
      </c>
      <c r="P67" s="4">
        <v>18.6501</v>
      </c>
      <c r="Q67" s="4">
        <v>2.301404</v>
      </c>
      <c r="R67" s="4">
        <v>13.1485</v>
      </c>
      <c r="S67" s="4">
        <v>1.8</v>
      </c>
      <c r="T67" s="4">
        <v>9816</v>
      </c>
      <c r="U67" s="31">
        <v>99.8650995058099</v>
      </c>
    </row>
    <row r="68" ht="15" spans="1:21">
      <c r="A68" s="14">
        <v>2013</v>
      </c>
      <c r="B68" s="14" t="s">
        <v>27</v>
      </c>
      <c r="C68" s="34">
        <v>11487</v>
      </c>
      <c r="D68" s="9">
        <v>4672.91</v>
      </c>
      <c r="E68" s="9">
        <v>58995</v>
      </c>
      <c r="F68" s="9">
        <v>2.54</v>
      </c>
      <c r="G68" s="9">
        <v>4.12459380201316</v>
      </c>
      <c r="H68" s="9">
        <v>13.5001530095808</v>
      </c>
      <c r="I68" s="9">
        <v>1.9329</v>
      </c>
      <c r="J68" s="9">
        <v>447</v>
      </c>
      <c r="K68" s="9">
        <v>35.57</v>
      </c>
      <c r="L68" s="9">
        <v>6084</v>
      </c>
      <c r="M68" s="9">
        <v>54177</v>
      </c>
      <c r="N68" s="9">
        <v>72.9088772567033</v>
      </c>
      <c r="O68" s="9">
        <v>16.56</v>
      </c>
      <c r="P68" s="9">
        <v>44.3401</v>
      </c>
      <c r="Q68" s="9">
        <v>32.24754</v>
      </c>
      <c r="R68" s="9">
        <v>2.4264</v>
      </c>
      <c r="S68" s="9">
        <v>0.48</v>
      </c>
      <c r="T68" s="9">
        <v>11445</v>
      </c>
      <c r="U68" s="30">
        <v>96.43</v>
      </c>
    </row>
    <row r="69" ht="15" spans="1:21">
      <c r="A69" s="14">
        <v>2014</v>
      </c>
      <c r="B69" s="14" t="s">
        <v>27</v>
      </c>
      <c r="C69" s="15">
        <v>12722</v>
      </c>
      <c r="D69" s="9">
        <v>5157.97</v>
      </c>
      <c r="E69" s="9">
        <v>64896</v>
      </c>
      <c r="F69" s="9">
        <v>2.61</v>
      </c>
      <c r="G69" s="9">
        <v>4.15718599293064</v>
      </c>
      <c r="H69" s="9">
        <v>13.5477717008823</v>
      </c>
      <c r="I69" s="9">
        <v>2.2859</v>
      </c>
      <c r="J69" s="9">
        <v>450</v>
      </c>
      <c r="K69" s="9">
        <v>33.68</v>
      </c>
      <c r="L69" s="9">
        <v>6917</v>
      </c>
      <c r="M69" s="9">
        <v>59648</v>
      </c>
      <c r="N69" s="9">
        <v>62.0620144473218</v>
      </c>
      <c r="O69" s="9">
        <v>15.57</v>
      </c>
      <c r="P69" s="9">
        <v>49.7305</v>
      </c>
      <c r="Q69" s="9">
        <v>35.50805</v>
      </c>
      <c r="R69" s="9">
        <v>2.8645</v>
      </c>
      <c r="S69" s="9">
        <v>0.48</v>
      </c>
      <c r="T69" s="9">
        <v>11445</v>
      </c>
      <c r="U69" s="30">
        <v>97.8518121469508</v>
      </c>
    </row>
    <row r="70" ht="15" spans="1:21">
      <c r="A70" s="14">
        <v>2015</v>
      </c>
      <c r="B70" s="14" t="s">
        <v>27</v>
      </c>
      <c r="C70" s="15">
        <v>17070</v>
      </c>
      <c r="D70" s="9">
        <v>5660.27</v>
      </c>
      <c r="E70" s="9">
        <v>70893</v>
      </c>
      <c r="F70" s="9">
        <v>2.78</v>
      </c>
      <c r="G70" s="9">
        <v>4.82340912914623</v>
      </c>
      <c r="H70" s="9">
        <v>13.6511155828256</v>
      </c>
      <c r="I70" s="9">
        <v>1.5162</v>
      </c>
      <c r="J70" s="9">
        <v>457</v>
      </c>
      <c r="K70" s="9">
        <v>33.17</v>
      </c>
      <c r="L70" s="9">
        <v>7512</v>
      </c>
      <c r="M70" s="9">
        <v>65806</v>
      </c>
      <c r="N70" s="9">
        <v>62.674481853137</v>
      </c>
      <c r="O70" s="9">
        <v>15.44</v>
      </c>
      <c r="P70" s="9">
        <v>52.7104</v>
      </c>
      <c r="Q70" s="9">
        <v>37.77524</v>
      </c>
      <c r="R70" s="9">
        <v>3.0253</v>
      </c>
      <c r="S70" s="9">
        <v>0.48</v>
      </c>
      <c r="T70" s="9">
        <v>11445</v>
      </c>
      <c r="U70" s="30">
        <v>98.8453115667927</v>
      </c>
    </row>
    <row r="71" ht="15" spans="1:21">
      <c r="A71" s="14">
        <v>2016</v>
      </c>
      <c r="B71" s="14" t="s">
        <v>27</v>
      </c>
      <c r="C71" s="15">
        <v>18496</v>
      </c>
      <c r="D71" s="9">
        <v>6274.38</v>
      </c>
      <c r="E71" s="9">
        <v>77769</v>
      </c>
      <c r="F71" s="9">
        <v>3</v>
      </c>
      <c r="G71" s="9">
        <v>11.8276443565738</v>
      </c>
      <c r="H71" s="9">
        <v>13.7041428794558</v>
      </c>
      <c r="I71" s="9">
        <v>3.6803</v>
      </c>
      <c r="J71" s="9">
        <v>463</v>
      </c>
      <c r="K71" s="9">
        <v>33.02</v>
      </c>
      <c r="L71" s="9">
        <v>9312</v>
      </c>
      <c r="M71" s="9">
        <v>71054</v>
      </c>
      <c r="N71" s="9">
        <v>62.5645587053828</v>
      </c>
      <c r="O71" s="9">
        <v>13.85</v>
      </c>
      <c r="P71" s="9">
        <v>49.9515</v>
      </c>
      <c r="Q71" s="9">
        <v>39.93892</v>
      </c>
      <c r="R71" s="9">
        <v>3.0576</v>
      </c>
      <c r="S71" s="9">
        <v>0.48</v>
      </c>
      <c r="T71" s="9">
        <v>11445</v>
      </c>
      <c r="U71" s="30">
        <v>98.8601390630344</v>
      </c>
    </row>
    <row r="72" ht="15" spans="1:21">
      <c r="A72" s="14">
        <v>2017</v>
      </c>
      <c r="B72" s="14" t="s">
        <v>27</v>
      </c>
      <c r="C72" s="15">
        <v>21469</v>
      </c>
      <c r="D72" s="9">
        <v>7213.45</v>
      </c>
      <c r="E72" s="9">
        <v>85410</v>
      </c>
      <c r="F72" s="9">
        <v>2.83</v>
      </c>
      <c r="G72" s="9">
        <v>7.20885905484078</v>
      </c>
      <c r="H72" s="9">
        <v>13.3825007451358</v>
      </c>
      <c r="I72" s="9">
        <v>5.5757</v>
      </c>
      <c r="J72" s="9">
        <v>469</v>
      </c>
      <c r="K72" s="9">
        <v>31.72</v>
      </c>
      <c r="L72" s="9">
        <v>11442</v>
      </c>
      <c r="M72" s="9">
        <v>77484</v>
      </c>
      <c r="N72" s="9">
        <v>61.3908238570673</v>
      </c>
      <c r="O72" s="9">
        <v>14.69</v>
      </c>
      <c r="P72" s="9">
        <v>50.2943</v>
      </c>
      <c r="Q72" s="9">
        <v>39.93892</v>
      </c>
      <c r="R72" s="9">
        <v>3.1512</v>
      </c>
      <c r="S72" s="9">
        <v>0.48</v>
      </c>
      <c r="T72" s="9">
        <v>11445</v>
      </c>
      <c r="U72" s="30">
        <v>99.752947064649</v>
      </c>
    </row>
    <row r="73" ht="15" spans="1:21">
      <c r="A73" s="14">
        <v>2018</v>
      </c>
      <c r="B73" s="14" t="s">
        <v>27</v>
      </c>
      <c r="C73" s="15">
        <v>28438</v>
      </c>
      <c r="D73" s="9">
        <v>7822.91</v>
      </c>
      <c r="E73" s="9">
        <v>97453</v>
      </c>
      <c r="F73" s="9">
        <v>2.73</v>
      </c>
      <c r="G73" s="9">
        <v>9.1520633688589</v>
      </c>
      <c r="H73" s="9">
        <v>12.8457313199308</v>
      </c>
      <c r="I73" s="9">
        <v>5.9915</v>
      </c>
      <c r="J73" s="9">
        <v>476</v>
      </c>
      <c r="K73" s="9">
        <v>29.91</v>
      </c>
      <c r="L73" s="9">
        <v>13068.63</v>
      </c>
      <c r="M73" s="9">
        <v>89022</v>
      </c>
      <c r="N73" s="9">
        <v>61.0823524308589</v>
      </c>
      <c r="O73" s="9">
        <v>16.27</v>
      </c>
      <c r="P73" s="9">
        <v>49.7131</v>
      </c>
      <c r="Q73" s="9">
        <v>39.93892</v>
      </c>
      <c r="R73" s="9">
        <v>3.0794</v>
      </c>
      <c r="S73" s="9">
        <v>0.48</v>
      </c>
      <c r="T73" s="9">
        <v>11445</v>
      </c>
      <c r="U73" s="30">
        <v>99.2058543628787</v>
      </c>
    </row>
    <row r="74" ht="15" spans="1:21">
      <c r="A74" s="14">
        <v>2019</v>
      </c>
      <c r="B74" s="14" t="s">
        <v>27</v>
      </c>
      <c r="C74" s="15">
        <v>30245</v>
      </c>
      <c r="D74" s="9">
        <v>9409</v>
      </c>
      <c r="E74" s="9">
        <v>103595</v>
      </c>
      <c r="F74" s="9">
        <v>2.49</v>
      </c>
      <c r="G74" s="9">
        <v>11.6080415438196</v>
      </c>
      <c r="H74" s="9">
        <v>11.9318737379105</v>
      </c>
      <c r="I74" s="9">
        <v>5.0579</v>
      </c>
      <c r="J74" s="9">
        <v>483</v>
      </c>
      <c r="K74" s="9">
        <v>28.95</v>
      </c>
      <c r="L74" s="9">
        <v>14086</v>
      </c>
      <c r="M74" s="9">
        <v>95156</v>
      </c>
      <c r="N74" s="9">
        <v>60.16946088619</v>
      </c>
      <c r="O74" s="9">
        <v>17.28</v>
      </c>
      <c r="P74" s="9">
        <v>53.6242</v>
      </c>
      <c r="Q74" s="9">
        <v>39.93892</v>
      </c>
      <c r="R74" s="9">
        <v>3.3733</v>
      </c>
      <c r="S74" s="9">
        <v>0.4</v>
      </c>
      <c r="T74" s="9">
        <v>11445</v>
      </c>
      <c r="U74" s="30">
        <v>99.1255225113329</v>
      </c>
    </row>
    <row r="75" ht="15" spans="1:21">
      <c r="A75" s="14">
        <v>2020</v>
      </c>
      <c r="B75" s="14" t="s">
        <v>27</v>
      </c>
      <c r="C75" s="15">
        <v>41054</v>
      </c>
      <c r="D75" s="9">
        <v>10046</v>
      </c>
      <c r="E75" s="9">
        <v>107993</v>
      </c>
      <c r="F75" s="9">
        <v>2.47</v>
      </c>
      <c r="G75" s="9">
        <v>14.0275690299309</v>
      </c>
      <c r="H75" s="9">
        <v>11.5901851483177</v>
      </c>
      <c r="I75" s="9">
        <v>5.0457</v>
      </c>
      <c r="J75" s="9">
        <v>490.1</v>
      </c>
      <c r="K75" s="9">
        <v>28.89</v>
      </c>
      <c r="L75" s="9">
        <v>15265</v>
      </c>
      <c r="M75" s="9">
        <v>104818</v>
      </c>
      <c r="N75" s="9">
        <v>57.9959600539801</v>
      </c>
      <c r="O75" s="9">
        <v>16.97</v>
      </c>
      <c r="P75" s="9">
        <v>58.617</v>
      </c>
      <c r="Q75" s="9">
        <v>39.93892</v>
      </c>
      <c r="R75" s="9">
        <v>3.5781</v>
      </c>
      <c r="S75" s="9">
        <v>0.8</v>
      </c>
      <c r="T75" s="9">
        <v>11445</v>
      </c>
      <c r="U75" s="30">
        <v>93.6357927786499</v>
      </c>
    </row>
    <row r="76" ht="15" spans="1:21">
      <c r="A76" s="14">
        <v>2021</v>
      </c>
      <c r="B76" s="14" t="s">
        <v>27</v>
      </c>
      <c r="C76" s="15">
        <v>53843</v>
      </c>
      <c r="D76" s="9">
        <v>11412.8</v>
      </c>
      <c r="E76" s="9">
        <v>120974</v>
      </c>
      <c r="F76" s="9">
        <v>2.47</v>
      </c>
      <c r="G76" s="9">
        <v>14.2254764161736</v>
      </c>
      <c r="H76" s="9">
        <v>10.7223468386373</v>
      </c>
      <c r="I76" s="9">
        <v>6.6547</v>
      </c>
      <c r="J76" s="9">
        <v>493.2</v>
      </c>
      <c r="K76" s="9">
        <v>27.69</v>
      </c>
      <c r="L76" s="9">
        <v>14443</v>
      </c>
      <c r="M76" s="9">
        <v>111672</v>
      </c>
      <c r="N76" s="9">
        <v>60.9776725304465</v>
      </c>
      <c r="O76" s="9">
        <v>17.18</v>
      </c>
      <c r="P76" s="9">
        <v>65.1355</v>
      </c>
      <c r="Q76" s="9">
        <v>39.93892</v>
      </c>
      <c r="R76" s="9">
        <v>4.2878</v>
      </c>
      <c r="S76" s="9">
        <v>0.4</v>
      </c>
      <c r="T76" s="9">
        <v>11445</v>
      </c>
      <c r="U76" s="30">
        <v>98.6062335381914</v>
      </c>
    </row>
    <row r="77" ht="15" spans="1:21">
      <c r="A77" s="14">
        <v>2022</v>
      </c>
      <c r="B77" s="14" t="s">
        <v>27</v>
      </c>
      <c r="C77" s="15">
        <v>59340</v>
      </c>
      <c r="D77" s="9">
        <v>12013.1</v>
      </c>
      <c r="E77" s="9">
        <v>125683</v>
      </c>
      <c r="F77" s="9">
        <v>2.47</v>
      </c>
      <c r="G77" s="9">
        <v>17.7998521931922</v>
      </c>
      <c r="H77" s="9">
        <v>11.4889578876393</v>
      </c>
      <c r="I77" s="9">
        <v>3.7246</v>
      </c>
      <c r="J77" s="9">
        <v>497.1</v>
      </c>
      <c r="K77" s="9">
        <v>27.94</v>
      </c>
      <c r="L77" s="9">
        <v>13476</v>
      </c>
      <c r="M77" s="9">
        <v>117760</v>
      </c>
      <c r="N77" s="9">
        <v>58.6788187336454</v>
      </c>
      <c r="O77" s="9">
        <v>17.12</v>
      </c>
      <c r="P77" s="9">
        <v>89.6076</v>
      </c>
      <c r="Q77" s="9">
        <v>39.93892</v>
      </c>
      <c r="R77" s="9">
        <v>4.7093</v>
      </c>
      <c r="S77" s="9">
        <v>0.4</v>
      </c>
      <c r="T77" s="9">
        <v>11445</v>
      </c>
      <c r="U77" s="30">
        <v>95.3106779943359</v>
      </c>
    </row>
    <row r="78" s="4" customFormat="1" ht="15" spans="1:21">
      <c r="A78" s="16">
        <v>2023</v>
      </c>
      <c r="B78" s="16" t="s">
        <v>27</v>
      </c>
      <c r="C78" s="17">
        <v>58992</v>
      </c>
      <c r="D78" s="4">
        <v>12674</v>
      </c>
      <c r="E78" s="4">
        <v>130074</v>
      </c>
      <c r="F78" s="4">
        <v>2.47</v>
      </c>
      <c r="G78" s="4">
        <v>17.4323692377457</v>
      </c>
      <c r="H78" s="4">
        <v>11.1357109042134</v>
      </c>
      <c r="I78" s="4">
        <v>3.0785</v>
      </c>
      <c r="J78" s="4">
        <v>501.9</v>
      </c>
      <c r="K78" s="4">
        <v>27.4</v>
      </c>
      <c r="L78" s="4">
        <v>15530</v>
      </c>
      <c r="M78" s="4">
        <v>123864</v>
      </c>
      <c r="N78" s="4">
        <v>57.6792095153416</v>
      </c>
      <c r="O78" s="4">
        <v>17.87</v>
      </c>
      <c r="P78" s="4">
        <v>86.2683</v>
      </c>
      <c r="Q78" s="4">
        <v>39.93892</v>
      </c>
      <c r="R78" s="4">
        <v>5.0162</v>
      </c>
      <c r="S78" s="4">
        <v>0.4</v>
      </c>
      <c r="T78" s="4">
        <v>11445</v>
      </c>
      <c r="U78" s="31">
        <v>100.181570585565</v>
      </c>
    </row>
    <row r="79" ht="15" spans="1:21">
      <c r="A79" s="14">
        <v>2013</v>
      </c>
      <c r="B79" s="14" t="s">
        <v>28</v>
      </c>
      <c r="C79" s="15">
        <v>15901</v>
      </c>
      <c r="D79" s="9">
        <v>9051.27</v>
      </c>
      <c r="E79" s="9">
        <v>88564.2857142857</v>
      </c>
      <c r="F79" s="9">
        <v>3.59</v>
      </c>
      <c r="G79" s="9">
        <v>2.81419207751496</v>
      </c>
      <c r="H79" s="9">
        <v>12.405772891539</v>
      </c>
      <c r="I79" s="9">
        <f>AVERAGE($I$2:$I$78,$I$101:$I$131,$I$134:$I$144)</f>
        <v>10.8458189915966</v>
      </c>
      <c r="J79" s="9">
        <v>522.24</v>
      </c>
      <c r="K79" s="9">
        <v>32.12</v>
      </c>
      <c r="L79" s="9">
        <v>7238</v>
      </c>
      <c r="M79" s="9">
        <v>53684</v>
      </c>
      <c r="N79" s="9">
        <v>67.5908414148324</v>
      </c>
      <c r="O79" s="9">
        <v>12.23</v>
      </c>
      <c r="P79" s="9">
        <v>96.6438</v>
      </c>
      <c r="Q79" s="9">
        <v>4.44191</v>
      </c>
      <c r="R79" s="9">
        <v>8.47551880555555</v>
      </c>
      <c r="S79" s="9">
        <v>1.44</v>
      </c>
      <c r="T79" s="9">
        <v>8569.15</v>
      </c>
      <c r="U79" s="30">
        <v>96.74</v>
      </c>
    </row>
    <row r="80" ht="15" spans="1:21">
      <c r="A80" s="14">
        <v>2014</v>
      </c>
      <c r="B80" s="14" t="s">
        <v>28</v>
      </c>
      <c r="C80" s="15">
        <v>16553</v>
      </c>
      <c r="D80" s="9">
        <v>10069.48</v>
      </c>
      <c r="E80" s="9">
        <v>97402.5923776359</v>
      </c>
      <c r="F80" s="9">
        <v>3.78</v>
      </c>
      <c r="G80" s="9">
        <v>4.84214109437495</v>
      </c>
      <c r="H80" s="9">
        <v>11.6699174138089</v>
      </c>
      <c r="I80" s="9">
        <f t="shared" ref="I80:I89" si="0">AVERAGE($I$2:$I$78,$I$101:$I$131,$I$134:$I$144)</f>
        <v>10.8458189915966</v>
      </c>
      <c r="J80" s="9">
        <v>530.44</v>
      </c>
      <c r="K80" s="9">
        <v>31.71</v>
      </c>
      <c r="L80" s="9">
        <v>7399</v>
      </c>
      <c r="M80" s="9">
        <v>60624</v>
      </c>
      <c r="N80" s="9">
        <v>66.131650135257</v>
      </c>
      <c r="O80" s="9">
        <v>11.69</v>
      </c>
      <c r="P80" s="9">
        <v>96.2106</v>
      </c>
      <c r="Q80" s="9">
        <v>4.817604</v>
      </c>
      <c r="R80" s="9">
        <v>8.47551880555555</v>
      </c>
      <c r="S80" s="9">
        <v>1.44</v>
      </c>
      <c r="T80" s="9">
        <v>8569.15</v>
      </c>
      <c r="U80" s="30">
        <v>98.5602184225259</v>
      </c>
    </row>
    <row r="81" ht="15" spans="1:21">
      <c r="A81" s="14">
        <v>2015</v>
      </c>
      <c r="B81" s="14" t="s">
        <v>28</v>
      </c>
      <c r="C81" s="15">
        <v>21740</v>
      </c>
      <c r="D81" s="9">
        <v>10905.6</v>
      </c>
      <c r="E81" s="9">
        <v>102808.337339857</v>
      </c>
      <c r="F81" s="9">
        <v>4.19</v>
      </c>
      <c r="G81" s="9">
        <v>5.09622211427077</v>
      </c>
      <c r="H81" s="9">
        <v>12.269384536385</v>
      </c>
      <c r="I81" s="9">
        <f t="shared" si="0"/>
        <v>10.8458189915966</v>
      </c>
      <c r="J81" s="9">
        <v>544.92</v>
      </c>
      <c r="K81" s="9">
        <v>31.53</v>
      </c>
      <c r="L81" s="9">
        <v>8404</v>
      </c>
      <c r="M81" s="9">
        <v>65720</v>
      </c>
      <c r="N81" s="9">
        <v>65.7125543007512</v>
      </c>
      <c r="O81" s="9">
        <v>13.77</v>
      </c>
      <c r="P81" s="9">
        <v>95.6789</v>
      </c>
      <c r="Q81" s="9">
        <v>4.862444</v>
      </c>
      <c r="R81" s="9">
        <v>8.47551880555555</v>
      </c>
      <c r="S81" s="9">
        <v>1.44</v>
      </c>
      <c r="T81" s="9">
        <v>8569.15</v>
      </c>
      <c r="U81" s="30">
        <v>98.8338994402716</v>
      </c>
    </row>
    <row r="82" ht="15" spans="1:21">
      <c r="A82" s="14">
        <v>2016</v>
      </c>
      <c r="B82" s="14" t="s">
        <v>28</v>
      </c>
      <c r="C82" s="15">
        <v>22967</v>
      </c>
      <c r="D82" s="9">
        <v>11912.61</v>
      </c>
      <c r="E82" s="9">
        <v>110648.232431127</v>
      </c>
      <c r="F82" s="9">
        <v>4.75</v>
      </c>
      <c r="G82" s="9">
        <v>5.66807461237768</v>
      </c>
      <c r="H82" s="9">
        <v>12.7988744699944</v>
      </c>
      <c r="I82" s="9">
        <f t="shared" si="0"/>
        <v>10.8458189915966</v>
      </c>
      <c r="J82" s="9">
        <v>550.37</v>
      </c>
      <c r="K82" s="9">
        <v>30.86</v>
      </c>
      <c r="L82" s="9">
        <v>9819</v>
      </c>
      <c r="M82" s="9">
        <v>71963</v>
      </c>
      <c r="N82" s="9">
        <v>66.776488636295</v>
      </c>
      <c r="O82" s="9">
        <v>15.16</v>
      </c>
      <c r="P82" s="9">
        <v>94.8768</v>
      </c>
      <c r="Q82" s="9">
        <v>5.230163</v>
      </c>
      <c r="R82" s="9">
        <v>8.47551880555555</v>
      </c>
      <c r="S82" s="9">
        <v>1.44</v>
      </c>
      <c r="T82" s="9">
        <v>8569.15</v>
      </c>
      <c r="U82" s="30">
        <v>96.928530997706</v>
      </c>
    </row>
    <row r="83" ht="15" spans="1:21">
      <c r="A83" s="14">
        <v>2017</v>
      </c>
      <c r="B83" s="14" t="s">
        <v>28</v>
      </c>
      <c r="C83" s="15">
        <v>25528</v>
      </c>
      <c r="D83" s="9">
        <v>13410.34</v>
      </c>
      <c r="E83" s="9">
        <v>122885.209247771</v>
      </c>
      <c r="F83" s="9">
        <v>4.87</v>
      </c>
      <c r="G83" s="9">
        <v>6.74145535371403</v>
      </c>
      <c r="H83" s="9">
        <v>12.8156333098191</v>
      </c>
      <c r="I83" s="9">
        <f t="shared" si="0"/>
        <v>10.8458189915966</v>
      </c>
      <c r="J83" s="9">
        <v>564.08</v>
      </c>
      <c r="K83" s="9">
        <v>29.6</v>
      </c>
      <c r="L83" s="9">
        <v>11453</v>
      </c>
      <c r="M83" s="9">
        <v>79684</v>
      </c>
      <c r="N83" s="9">
        <v>65.7668616674223</v>
      </c>
      <c r="O83" s="9">
        <v>15.53</v>
      </c>
      <c r="P83" s="9">
        <v>94.7651</v>
      </c>
      <c r="Q83" s="9">
        <v>5.481682</v>
      </c>
      <c r="R83" s="9">
        <v>8.47551880555555</v>
      </c>
      <c r="S83" s="9">
        <v>1.44</v>
      </c>
      <c r="T83" s="9">
        <v>8569.15</v>
      </c>
      <c r="U83" s="30">
        <v>98.8342358101928</v>
      </c>
    </row>
    <row r="84" ht="15" spans="1:21">
      <c r="A84" s="14">
        <v>2018</v>
      </c>
      <c r="B84" s="14" t="s">
        <v>28</v>
      </c>
      <c r="C84" s="15">
        <v>32397</v>
      </c>
      <c r="D84" s="9">
        <v>14847.29</v>
      </c>
      <c r="E84" s="9">
        <v>133988.719429654</v>
      </c>
      <c r="F84" s="9">
        <v>4.87</v>
      </c>
      <c r="G84" s="9">
        <v>6.96673940424297</v>
      </c>
      <c r="H84" s="9">
        <v>12.9943578929219</v>
      </c>
      <c r="I84" s="9">
        <f t="shared" si="0"/>
        <v>10.8458189915966</v>
      </c>
      <c r="J84" s="9">
        <v>610.72</v>
      </c>
      <c r="K84" s="9">
        <v>27.7</v>
      </c>
      <c r="L84" s="9">
        <v>12678.48</v>
      </c>
      <c r="M84" s="9">
        <v>88327</v>
      </c>
      <c r="N84" s="9">
        <v>65.8818521352665</v>
      </c>
      <c r="O84" s="9">
        <v>13.48</v>
      </c>
      <c r="P84" s="9">
        <v>96.9323</v>
      </c>
      <c r="Q84" s="9">
        <v>5.363652</v>
      </c>
      <c r="R84" s="9">
        <v>8.47551880555555</v>
      </c>
      <c r="S84" s="9">
        <v>1.44</v>
      </c>
      <c r="T84" s="9">
        <v>8569.15</v>
      </c>
      <c r="U84" s="30">
        <v>103.215143185219</v>
      </c>
    </row>
    <row r="85" ht="15" spans="1:21">
      <c r="A85" s="14">
        <v>2019</v>
      </c>
      <c r="B85" s="14" t="s">
        <v>28</v>
      </c>
      <c r="C85" s="15">
        <v>39258</v>
      </c>
      <c r="D85" s="9">
        <v>15616</v>
      </c>
      <c r="E85" s="9">
        <v>139279.343560471</v>
      </c>
      <c r="F85" s="9">
        <v>5.44</v>
      </c>
      <c r="G85" s="9">
        <v>7.88654955075768</v>
      </c>
      <c r="H85" s="9">
        <v>14.3256915983607</v>
      </c>
      <c r="I85" s="9">
        <f t="shared" si="0"/>
        <v>10.8458189915966</v>
      </c>
      <c r="J85" s="9">
        <v>623.13</v>
      </c>
      <c r="K85" s="9">
        <v>27.5</v>
      </c>
      <c r="L85" s="9">
        <v>13834</v>
      </c>
      <c r="M85" s="9">
        <v>98043</v>
      </c>
      <c r="N85" s="9">
        <v>65.7660619657293</v>
      </c>
      <c r="O85" s="9">
        <v>13.02</v>
      </c>
      <c r="P85" s="9">
        <v>100.6894</v>
      </c>
      <c r="Q85" s="9">
        <v>5.120561</v>
      </c>
      <c r="R85" s="9">
        <v>8.47551880555555</v>
      </c>
      <c r="S85" s="9">
        <v>1.4</v>
      </c>
      <c r="T85" s="9">
        <v>8569.15</v>
      </c>
      <c r="U85" s="30">
        <v>176.780580452967</v>
      </c>
    </row>
    <row r="86" ht="15" spans="1:21">
      <c r="A86" s="14">
        <v>2020</v>
      </c>
      <c r="B86" s="14" t="s">
        <v>28</v>
      </c>
      <c r="C86" s="15">
        <v>58923</v>
      </c>
      <c r="D86" s="9">
        <v>16223</v>
      </c>
      <c r="E86" s="9">
        <v>130329.29778192</v>
      </c>
      <c r="F86" s="9">
        <v>4.75</v>
      </c>
      <c r="G86" s="9">
        <v>6.3418888612011</v>
      </c>
      <c r="H86" s="9">
        <v>1.48418911422055</v>
      </c>
      <c r="I86" s="9">
        <f t="shared" si="0"/>
        <v>10.8458189915966</v>
      </c>
      <c r="J86" s="9">
        <v>603.79</v>
      </c>
      <c r="K86" s="9">
        <v>29.19</v>
      </c>
      <c r="L86" s="9">
        <v>14672</v>
      </c>
      <c r="M86" s="9">
        <v>104009</v>
      </c>
      <c r="N86" s="9">
        <v>61.7826933005043</v>
      </c>
      <c r="O86" s="9">
        <v>12.17</v>
      </c>
      <c r="P86" s="9">
        <v>106.7206</v>
      </c>
      <c r="Q86" s="9">
        <v>4.52666</v>
      </c>
      <c r="R86" s="9">
        <v>8.47551880555555</v>
      </c>
      <c r="S86" s="9">
        <v>1.2</v>
      </c>
      <c r="T86" s="9">
        <v>8569.15</v>
      </c>
      <c r="U86" s="30">
        <v>-103.825370675453</v>
      </c>
    </row>
    <row r="87" ht="15" spans="1:21">
      <c r="A87" s="14">
        <v>2021</v>
      </c>
      <c r="B87" s="14" t="s">
        <v>28</v>
      </c>
      <c r="C87" s="15">
        <v>86379</v>
      </c>
      <c r="D87" s="9">
        <v>17716.76</v>
      </c>
      <c r="E87" s="9">
        <v>129803.573914381</v>
      </c>
      <c r="F87" s="9">
        <v>4.58</v>
      </c>
      <c r="G87" s="9">
        <v>8.58405122813035</v>
      </c>
      <c r="H87" s="9">
        <v>12.507761012736</v>
      </c>
      <c r="I87" s="9">
        <f t="shared" si="0"/>
        <v>10.8458189915966</v>
      </c>
      <c r="J87" s="9">
        <v>634.2</v>
      </c>
      <c r="K87" s="9">
        <v>27.93</v>
      </c>
      <c r="L87" s="9">
        <v>15504</v>
      </c>
      <c r="M87" s="9">
        <v>121608</v>
      </c>
      <c r="N87" s="9">
        <v>66.3399461091922</v>
      </c>
      <c r="O87" s="9">
        <v>13.9</v>
      </c>
      <c r="P87" s="9">
        <v>110.5576</v>
      </c>
      <c r="Q87" s="9">
        <v>5.052695</v>
      </c>
      <c r="R87" s="9">
        <v>8.47551880555555</v>
      </c>
      <c r="S87" s="9">
        <v>1</v>
      </c>
      <c r="T87" s="9">
        <v>8569.15</v>
      </c>
      <c r="U87" s="30">
        <v>137.809956083976</v>
      </c>
    </row>
    <row r="88" ht="15" spans="1:21">
      <c r="A88" s="14">
        <v>2022</v>
      </c>
      <c r="B88" s="14" t="s">
        <v>28</v>
      </c>
      <c r="C88" s="15">
        <v>89461</v>
      </c>
      <c r="D88" s="9">
        <v>18866.43</v>
      </c>
      <c r="E88" s="9">
        <v>137320.256204964</v>
      </c>
      <c r="F88" s="9">
        <v>4.59</v>
      </c>
      <c r="G88" s="9">
        <v>7.99586172772867</v>
      </c>
      <c r="H88" s="9">
        <v>11.7836283812041</v>
      </c>
      <c r="I88" s="9">
        <f t="shared" si="0"/>
        <v>10.8458189915966</v>
      </c>
      <c r="J88" s="9">
        <v>635.32</v>
      </c>
      <c r="K88" s="9">
        <v>28.46</v>
      </c>
      <c r="L88" s="9">
        <v>14776</v>
      </c>
      <c r="M88" s="9">
        <v>129004</v>
      </c>
      <c r="N88" s="9">
        <v>64.0182039042584</v>
      </c>
      <c r="O88" s="9">
        <v>14.48</v>
      </c>
      <c r="P88" s="9">
        <v>113.5373</v>
      </c>
      <c r="Q88" s="9">
        <v>5.086564</v>
      </c>
      <c r="R88" s="9">
        <v>8.47551880555555</v>
      </c>
      <c r="S88" s="9">
        <v>1.8</v>
      </c>
      <c r="T88" s="9">
        <v>8569.15</v>
      </c>
      <c r="U88" s="30">
        <v>97.2531248097279</v>
      </c>
    </row>
    <row r="89" s="4" customFormat="1" ht="15" spans="1:21">
      <c r="A89" s="16">
        <v>2023</v>
      </c>
      <c r="B89" s="16" t="s">
        <v>28</v>
      </c>
      <c r="C89" s="17">
        <v>73836</v>
      </c>
      <c r="D89" s="4">
        <v>20012</v>
      </c>
      <c r="E89" s="4">
        <v>145288.224190504</v>
      </c>
      <c r="F89" s="4">
        <v>4.65</v>
      </c>
      <c r="G89" s="4">
        <v>8.22883016950383</v>
      </c>
      <c r="H89" s="4">
        <v>11.013791724965</v>
      </c>
      <c r="I89" s="4">
        <f t="shared" si="0"/>
        <v>10.8458189915966</v>
      </c>
      <c r="J89" s="4">
        <v>638.33</v>
      </c>
      <c r="K89" s="4">
        <v>27.75</v>
      </c>
      <c r="L89" s="4">
        <v>14883</v>
      </c>
      <c r="M89" s="4">
        <v>139453</v>
      </c>
      <c r="N89" s="4">
        <v>65.928063151411</v>
      </c>
      <c r="O89" s="4">
        <v>15.4</v>
      </c>
      <c r="P89" s="4">
        <v>116.1053</v>
      </c>
      <c r="Q89" s="4">
        <v>4.983772</v>
      </c>
      <c r="R89" s="4">
        <v>8.47551880555555</v>
      </c>
      <c r="S89" s="4">
        <v>1.8</v>
      </c>
      <c r="T89" s="4">
        <v>8569.15</v>
      </c>
      <c r="U89" s="31">
        <v>100.068961303107</v>
      </c>
    </row>
    <row r="90" ht="15" spans="1:21">
      <c r="A90" s="14">
        <v>2013</v>
      </c>
      <c r="B90" s="14" t="s">
        <v>29</v>
      </c>
      <c r="C90" s="15">
        <v>10362</v>
      </c>
      <c r="D90" s="9">
        <v>7153.13</v>
      </c>
      <c r="E90" s="9">
        <v>88853</v>
      </c>
      <c r="F90" s="9">
        <v>2.94</v>
      </c>
      <c r="G90" s="9">
        <v>2.88169195744003</v>
      </c>
      <c r="H90" s="9">
        <v>9.81142241228665</v>
      </c>
      <c r="I90" s="9">
        <f t="shared" ref="I90:I100" si="1">AVERAGE($I$2:$I$78,$I$101:$I$131,$I$134:$I$144)</f>
        <v>10.8458189915966</v>
      </c>
      <c r="J90" s="9">
        <v>456.63</v>
      </c>
      <c r="K90" s="9">
        <v>29.4875811143433</v>
      </c>
      <c r="L90" s="9">
        <v>5759</v>
      </c>
      <c r="M90" s="9">
        <v>56215</v>
      </c>
      <c r="N90" s="9">
        <v>66.3834590933397</v>
      </c>
      <c r="O90" s="9">
        <v>16.92</v>
      </c>
      <c r="P90" s="9">
        <v>57.3447</v>
      </c>
      <c r="Q90" s="9">
        <v>3.443761</v>
      </c>
      <c r="R90" s="9">
        <v>3.5954</v>
      </c>
      <c r="S90" s="9">
        <v>0.8</v>
      </c>
      <c r="T90" s="9">
        <v>11816.13</v>
      </c>
      <c r="U90" s="30">
        <v>97.5</v>
      </c>
    </row>
    <row r="91" ht="15" spans="1:21">
      <c r="A91" s="14">
        <v>2014</v>
      </c>
      <c r="B91" s="14" t="s">
        <v>29</v>
      </c>
      <c r="C91" s="15">
        <v>11448</v>
      </c>
      <c r="D91" s="9">
        <v>7824.81</v>
      </c>
      <c r="E91" s="9">
        <v>94149</v>
      </c>
      <c r="F91" s="9">
        <v>3.12</v>
      </c>
      <c r="G91" s="9">
        <v>2.79878531944439</v>
      </c>
      <c r="H91" s="9">
        <v>10.2543550578225</v>
      </c>
      <c r="I91" s="9">
        <f t="shared" si="1"/>
        <v>10.8458189915966</v>
      </c>
      <c r="J91" s="9">
        <v>460.57</v>
      </c>
      <c r="K91" s="9">
        <v>26.4470834266936</v>
      </c>
      <c r="L91" s="9">
        <v>5458</v>
      </c>
      <c r="M91" s="9">
        <v>61847</v>
      </c>
      <c r="N91" s="9">
        <v>72.7176451420192</v>
      </c>
      <c r="O91" s="9">
        <v>15.71</v>
      </c>
      <c r="P91" s="9">
        <v>54.7514</v>
      </c>
      <c r="Q91" s="9">
        <v>3.680972</v>
      </c>
      <c r="R91" s="9">
        <v>3.4328</v>
      </c>
      <c r="S91" s="9">
        <v>0.8</v>
      </c>
      <c r="T91" s="9">
        <v>11816.13</v>
      </c>
      <c r="U91" s="30">
        <v>97.41692472606</v>
      </c>
    </row>
    <row r="92" ht="15" spans="1:21">
      <c r="A92" s="14">
        <v>2015</v>
      </c>
      <c r="B92" s="14" t="s">
        <v>29</v>
      </c>
      <c r="C92" s="15">
        <v>14633</v>
      </c>
      <c r="D92" s="9">
        <v>8510.13</v>
      </c>
      <c r="E92" s="9">
        <v>103603</v>
      </c>
      <c r="F92" s="9">
        <v>3.22</v>
      </c>
      <c r="G92" s="9">
        <v>2.61331036826843</v>
      </c>
      <c r="H92" s="9">
        <v>10.8693897743043</v>
      </c>
      <c r="I92" s="9">
        <f t="shared" si="1"/>
        <v>10.8458189915966</v>
      </c>
      <c r="J92" s="9">
        <v>463.34</v>
      </c>
      <c r="K92" s="9">
        <v>26.0141834436863</v>
      </c>
      <c r="L92" s="9">
        <v>5544</v>
      </c>
      <c r="M92" s="9">
        <v>67266</v>
      </c>
      <c r="N92" s="9">
        <v>74.4550937163735</v>
      </c>
      <c r="O92" s="9">
        <v>15.62</v>
      </c>
      <c r="P92" s="9">
        <v>56.94</v>
      </c>
      <c r="Q92" s="9">
        <v>3.894358</v>
      </c>
      <c r="R92" s="9">
        <v>4.1019</v>
      </c>
      <c r="S92" s="9">
        <v>0.8</v>
      </c>
      <c r="T92" s="9">
        <v>11816.13</v>
      </c>
      <c r="U92" s="30">
        <v>95.6399929959729</v>
      </c>
    </row>
    <row r="93" ht="15" spans="1:21">
      <c r="A93" s="14">
        <v>2016</v>
      </c>
      <c r="B93" s="14" t="s">
        <v>29</v>
      </c>
      <c r="C93" s="15">
        <v>14961</v>
      </c>
      <c r="D93" s="9">
        <v>9356.91</v>
      </c>
      <c r="E93" s="9">
        <v>108652</v>
      </c>
      <c r="F93" s="9">
        <v>3.42</v>
      </c>
      <c r="G93" s="9">
        <v>2.36320508729749</v>
      </c>
      <c r="H93" s="9">
        <v>11.1300963672836</v>
      </c>
      <c r="I93" s="9">
        <f t="shared" si="1"/>
        <v>10.8458189915966</v>
      </c>
      <c r="J93" s="9">
        <v>466.36</v>
      </c>
      <c r="K93" s="9">
        <v>24.9505137147705</v>
      </c>
      <c r="L93" s="9">
        <v>6160</v>
      </c>
      <c r="M93" s="9">
        <v>77782</v>
      </c>
      <c r="N93" s="9">
        <v>73.5113410634268</v>
      </c>
      <c r="O93" s="9">
        <v>15.05</v>
      </c>
      <c r="P93" s="9">
        <v>59.002</v>
      </c>
      <c r="Q93" s="9">
        <v>4.138304</v>
      </c>
      <c r="R93" s="9">
        <v>3.7831</v>
      </c>
      <c r="S93" s="9">
        <v>0.8</v>
      </c>
      <c r="T93" s="9">
        <v>11816.13</v>
      </c>
      <c r="U93" s="30">
        <v>96.4937764236283</v>
      </c>
    </row>
    <row r="94" ht="15" spans="1:21">
      <c r="A94" s="14">
        <v>2017</v>
      </c>
      <c r="B94" s="14" t="s">
        <v>29</v>
      </c>
      <c r="C94" s="15">
        <v>17170</v>
      </c>
      <c r="D94" s="9">
        <v>10535.51</v>
      </c>
      <c r="E94" s="9">
        <v>114078</v>
      </c>
      <c r="F94" s="9">
        <v>3.37</v>
      </c>
      <c r="G94" s="9">
        <v>2.47944303940041</v>
      </c>
      <c r="H94" s="9">
        <v>11.2249364292758</v>
      </c>
      <c r="I94" s="9">
        <f t="shared" si="1"/>
        <v>10.8458189915966</v>
      </c>
      <c r="J94" s="9">
        <v>474.61</v>
      </c>
      <c r="K94" s="9">
        <v>24.6788858421129</v>
      </c>
      <c r="L94" s="9">
        <v>7287</v>
      </c>
      <c r="M94" s="9">
        <v>85187</v>
      </c>
      <c r="N94" s="9">
        <v>73.7944108375224</v>
      </c>
      <c r="O94" s="9">
        <v>14.99</v>
      </c>
      <c r="P94" s="9">
        <v>61.0379</v>
      </c>
      <c r="Q94" s="9">
        <v>4.073557</v>
      </c>
      <c r="R94" s="9">
        <v>4.0329</v>
      </c>
      <c r="S94" s="9">
        <v>0.8</v>
      </c>
      <c r="T94" s="9">
        <v>11816.13</v>
      </c>
      <c r="U94" s="30">
        <v>99.3220770405565</v>
      </c>
    </row>
    <row r="95" ht="15" spans="1:21">
      <c r="A95" s="14">
        <v>2018</v>
      </c>
      <c r="B95" s="14" t="s">
        <v>29</v>
      </c>
      <c r="C95" s="15">
        <v>21188</v>
      </c>
      <c r="D95" s="9">
        <v>11003.41</v>
      </c>
      <c r="E95" s="9">
        <v>113664</v>
      </c>
      <c r="F95" s="9">
        <v>3.48</v>
      </c>
      <c r="G95" s="9">
        <v>2.78193358725605</v>
      </c>
      <c r="H95" s="9">
        <v>11.8216943656557</v>
      </c>
      <c r="I95" s="9">
        <f t="shared" si="1"/>
        <v>10.8458189915966</v>
      </c>
      <c r="J95" s="9">
        <v>480.43</v>
      </c>
      <c r="K95" s="9">
        <v>25.8953093133923</v>
      </c>
      <c r="L95" s="9">
        <v>7796.2</v>
      </c>
      <c r="M95" s="9">
        <v>93293</v>
      </c>
      <c r="N95" s="9">
        <v>72.4031343518664</v>
      </c>
      <c r="O95" s="9">
        <v>14.96</v>
      </c>
      <c r="P95" s="9">
        <v>70.3519</v>
      </c>
      <c r="Q95" s="9">
        <v>4.073557</v>
      </c>
      <c r="R95" s="9">
        <v>3.7851</v>
      </c>
      <c r="S95" s="9">
        <v>0.8</v>
      </c>
      <c r="T95" s="9">
        <v>11816.13</v>
      </c>
      <c r="U95" s="30">
        <v>112.979269074589</v>
      </c>
    </row>
    <row r="96" ht="15" spans="1:21">
      <c r="A96" s="14">
        <v>2019</v>
      </c>
      <c r="B96" s="14" t="s">
        <v>29</v>
      </c>
      <c r="C96" s="15">
        <v>22504</v>
      </c>
      <c r="D96" s="9">
        <v>11574</v>
      </c>
      <c r="E96" s="9">
        <v>122150</v>
      </c>
      <c r="F96" s="9">
        <v>3.8</v>
      </c>
      <c r="G96" s="9">
        <v>3.12153527992308</v>
      </c>
      <c r="H96" s="9">
        <v>12.32055469155</v>
      </c>
      <c r="I96" s="9">
        <f t="shared" si="1"/>
        <v>10.8458189915966</v>
      </c>
      <c r="J96" s="9">
        <v>489.95</v>
      </c>
      <c r="K96" s="9">
        <v>25.7819617370179</v>
      </c>
      <c r="L96" s="9">
        <v>8227</v>
      </c>
      <c r="M96" s="9">
        <v>98459</v>
      </c>
      <c r="N96" s="9">
        <v>71.5726938472406</v>
      </c>
      <c r="O96" s="9">
        <v>14.81</v>
      </c>
      <c r="P96" s="9">
        <v>66.586</v>
      </c>
      <c r="Q96" s="9">
        <v>4.073557</v>
      </c>
      <c r="R96" s="9">
        <v>3.6272</v>
      </c>
      <c r="S96" s="9">
        <v>1</v>
      </c>
      <c r="T96" s="9">
        <v>11816.13</v>
      </c>
      <c r="U96" s="30">
        <v>92.860022082406</v>
      </c>
    </row>
    <row r="97" ht="15" spans="1:21">
      <c r="A97" s="14">
        <v>2020</v>
      </c>
      <c r="B97" s="14" t="s">
        <v>29</v>
      </c>
      <c r="C97" s="15">
        <v>33012</v>
      </c>
      <c r="D97" s="9">
        <v>12143</v>
      </c>
      <c r="E97" s="9">
        <v>123297</v>
      </c>
      <c r="F97" s="9">
        <v>4.14</v>
      </c>
      <c r="G97" s="9">
        <v>3.10872690621615</v>
      </c>
      <c r="H97" s="9">
        <v>12.3629407889319</v>
      </c>
      <c r="I97" s="9">
        <f t="shared" si="1"/>
        <v>10.8458189915966</v>
      </c>
      <c r="J97" s="9">
        <v>555.62</v>
      </c>
      <c r="K97" s="9">
        <v>27.0053407609946</v>
      </c>
      <c r="L97" s="9">
        <v>9112</v>
      </c>
      <c r="M97" s="9">
        <v>105603</v>
      </c>
      <c r="N97" s="9">
        <v>67.5044418761105</v>
      </c>
      <c r="O97" s="9">
        <v>15.39</v>
      </c>
      <c r="P97" s="9">
        <v>69.7407</v>
      </c>
      <c r="Q97" s="9">
        <v>4.073557</v>
      </c>
      <c r="R97" s="9">
        <v>3.995</v>
      </c>
      <c r="S97" s="9">
        <v>0</v>
      </c>
      <c r="T97" s="9">
        <v>11816.13</v>
      </c>
      <c r="U97" s="30">
        <v>88.6590509666081</v>
      </c>
    </row>
    <row r="98" ht="15" spans="1:21">
      <c r="A98" s="14">
        <v>2021</v>
      </c>
      <c r="B98" s="14" t="s">
        <v>29</v>
      </c>
      <c r="C98" s="15">
        <v>44574</v>
      </c>
      <c r="D98" s="9">
        <v>13270.7</v>
      </c>
      <c r="E98" s="9">
        <v>130745</v>
      </c>
      <c r="F98" s="9">
        <v>0.98</v>
      </c>
      <c r="G98" s="9">
        <v>4.46248076340762</v>
      </c>
      <c r="H98" s="9">
        <v>11.6165175913855</v>
      </c>
      <c r="I98" s="9">
        <f t="shared" si="1"/>
        <v>10.8458189915966</v>
      </c>
      <c r="J98" s="9">
        <v>532.83</v>
      </c>
      <c r="K98" s="9">
        <v>26.8028264446811</v>
      </c>
      <c r="L98" s="9">
        <v>10119</v>
      </c>
      <c r="M98" s="9">
        <v>114805</v>
      </c>
      <c r="N98" s="9">
        <v>66.4960978357068</v>
      </c>
      <c r="O98" s="9">
        <v>16.61</v>
      </c>
      <c r="P98" s="9">
        <v>72.6846</v>
      </c>
      <c r="Q98" s="9">
        <v>4.073557</v>
      </c>
      <c r="R98" s="9">
        <v>3.9901</v>
      </c>
      <c r="S98" s="9">
        <v>1.2</v>
      </c>
      <c r="T98" s="9">
        <v>11816.13</v>
      </c>
      <c r="U98" s="30">
        <v>99.8616653365256</v>
      </c>
    </row>
    <row r="99" ht="15" spans="1:21">
      <c r="A99" s="14">
        <v>2022</v>
      </c>
      <c r="B99" s="14" t="s">
        <v>29</v>
      </c>
      <c r="C99" s="15">
        <v>45602</v>
      </c>
      <c r="D99" s="9">
        <v>13966.11</v>
      </c>
      <c r="E99" s="9">
        <v>135200</v>
      </c>
      <c r="F99" s="9">
        <v>1.49</v>
      </c>
      <c r="G99" s="9">
        <v>5.07759063541614</v>
      </c>
      <c r="H99" s="9">
        <v>11.2147090349424</v>
      </c>
      <c r="I99" s="9">
        <f t="shared" si="1"/>
        <v>10.8458189915966</v>
      </c>
      <c r="J99" s="9">
        <v>521.36</v>
      </c>
      <c r="K99" s="9">
        <v>26.4539420053569</v>
      </c>
      <c r="L99" s="9">
        <v>10703</v>
      </c>
      <c r="M99" s="9">
        <v>121171</v>
      </c>
      <c r="N99" s="9">
        <v>65.8628624022089</v>
      </c>
      <c r="O99" s="9">
        <v>18.71</v>
      </c>
      <c r="P99" s="9">
        <v>76.2443</v>
      </c>
      <c r="Q99" s="9">
        <v>4.073557</v>
      </c>
      <c r="R99" s="9">
        <v>5.2504</v>
      </c>
      <c r="S99" s="9">
        <v>1</v>
      </c>
      <c r="T99" s="9">
        <v>11816.13</v>
      </c>
      <c r="U99" s="30">
        <v>96.2985864454062</v>
      </c>
    </row>
    <row r="100" s="4" customFormat="1" ht="15" spans="1:21">
      <c r="A100" s="16">
        <v>2023</v>
      </c>
      <c r="B100" s="16" t="s">
        <v>29</v>
      </c>
      <c r="C100" s="17">
        <v>37900</v>
      </c>
      <c r="D100" s="4">
        <v>14332</v>
      </c>
      <c r="E100" s="4">
        <v>136324.965994806</v>
      </c>
      <c r="F100" s="4">
        <v>4.31</v>
      </c>
      <c r="G100" s="24">
        <v>5.173835</v>
      </c>
      <c r="H100" s="4">
        <v>11.3510326542004</v>
      </c>
      <c r="I100" s="4">
        <f t="shared" si="1"/>
        <v>10.8458189915966</v>
      </c>
      <c r="J100" s="4">
        <v>537.03</v>
      </c>
      <c r="K100" s="4">
        <v>26.75</v>
      </c>
      <c r="L100" s="4">
        <v>11239</v>
      </c>
      <c r="M100" s="4">
        <v>125213</v>
      </c>
      <c r="N100" s="4">
        <v>67.0105238123551</v>
      </c>
      <c r="O100" s="4">
        <v>18.40096</v>
      </c>
      <c r="P100" s="4">
        <v>79.5531</v>
      </c>
      <c r="Q100" s="4">
        <v>4.073557</v>
      </c>
      <c r="R100" s="4">
        <v>3.95939</v>
      </c>
      <c r="S100" s="4">
        <v>0.8</v>
      </c>
      <c r="T100" s="4">
        <v>11816.13</v>
      </c>
      <c r="U100" s="31">
        <v>100.081991855476</v>
      </c>
    </row>
    <row r="101" ht="15" spans="1:21">
      <c r="A101" s="14">
        <v>2013</v>
      </c>
      <c r="B101" s="14" t="s">
        <v>30</v>
      </c>
      <c r="C101" s="15">
        <v>26156</v>
      </c>
      <c r="D101" s="9">
        <v>15420.14</v>
      </c>
      <c r="E101" s="9">
        <v>104235</v>
      </c>
      <c r="F101" s="9">
        <v>2.04</v>
      </c>
      <c r="G101" s="9">
        <v>3.90944572298414</v>
      </c>
      <c r="H101" s="9">
        <v>8.98908829621521</v>
      </c>
      <c r="I101" s="9">
        <v>4.31</v>
      </c>
      <c r="J101" s="9">
        <v>825.1</v>
      </c>
      <c r="K101" s="9">
        <v>33.9</v>
      </c>
      <c r="L101" s="9">
        <v>13954</v>
      </c>
      <c r="M101" s="9">
        <v>73678</v>
      </c>
      <c r="N101" s="9">
        <v>78.8529801085111</v>
      </c>
      <c r="O101" s="9">
        <v>18.32</v>
      </c>
      <c r="P101" s="9">
        <v>98.3051</v>
      </c>
      <c r="Q101" s="9">
        <v>3.227828</v>
      </c>
      <c r="R101" s="9">
        <v>5.27</v>
      </c>
      <c r="S101" s="9">
        <v>0.4</v>
      </c>
      <c r="T101" s="9">
        <v>7434.4</v>
      </c>
      <c r="U101" s="8">
        <v>99.56</v>
      </c>
    </row>
    <row r="102" ht="15" spans="1:21">
      <c r="A102" s="14">
        <v>2014</v>
      </c>
      <c r="B102" s="14" t="s">
        <v>30</v>
      </c>
      <c r="C102" s="15">
        <v>28138</v>
      </c>
      <c r="D102" s="9">
        <v>16706.87</v>
      </c>
      <c r="E102" s="9">
        <v>107528</v>
      </c>
      <c r="F102" s="9">
        <v>2</v>
      </c>
      <c r="G102" s="9">
        <v>3.92140479870772</v>
      </c>
      <c r="H102" s="9">
        <v>8.59658332171137</v>
      </c>
      <c r="I102" s="9">
        <v>4.55</v>
      </c>
      <c r="J102" s="9">
        <v>874.96</v>
      </c>
      <c r="K102" s="9">
        <v>32.9</v>
      </c>
      <c r="L102" s="9">
        <v>14739</v>
      </c>
      <c r="M102" s="9">
        <v>74246</v>
      </c>
      <c r="N102" s="9">
        <v>77.7208706786172</v>
      </c>
      <c r="O102" s="9">
        <v>15.95</v>
      </c>
      <c r="P102" s="9">
        <v>101.9291</v>
      </c>
      <c r="Q102" s="9">
        <v>3.41076</v>
      </c>
      <c r="R102" s="9">
        <v>6.08</v>
      </c>
      <c r="S102" s="9">
        <v>0.4</v>
      </c>
      <c r="T102" s="9">
        <v>7434.4</v>
      </c>
      <c r="U102" s="30">
        <v>100.789598439455</v>
      </c>
    </row>
    <row r="103" ht="15" spans="1:21">
      <c r="A103" s="14">
        <v>2015</v>
      </c>
      <c r="B103" s="14" t="s">
        <v>30</v>
      </c>
      <c r="C103" s="15">
        <v>39834</v>
      </c>
      <c r="D103" s="9">
        <v>18100.41</v>
      </c>
      <c r="E103" s="9">
        <v>111060</v>
      </c>
      <c r="F103" s="9">
        <v>1.86</v>
      </c>
      <c r="G103" s="9">
        <v>5.1321973467923</v>
      </c>
      <c r="H103" s="9">
        <v>9.54519814744528</v>
      </c>
      <c r="I103" s="9">
        <v>4.34</v>
      </c>
      <c r="J103" s="9">
        <v>927.91</v>
      </c>
      <c r="K103" s="9">
        <v>32.84</v>
      </c>
      <c r="L103" s="9">
        <v>14083</v>
      </c>
      <c r="M103" s="9">
        <v>81171</v>
      </c>
      <c r="N103" s="9">
        <v>76.5015512998823</v>
      </c>
      <c r="O103" s="9">
        <v>16.62</v>
      </c>
      <c r="P103" s="9">
        <v>104.3221</v>
      </c>
      <c r="Q103" s="9">
        <v>3.597176</v>
      </c>
      <c r="R103" s="9">
        <v>6.09</v>
      </c>
      <c r="S103" s="9">
        <v>0.4</v>
      </c>
      <c r="T103" s="9">
        <v>7434.4</v>
      </c>
      <c r="U103" s="30">
        <v>99.415876114069</v>
      </c>
    </row>
    <row r="104" ht="15" spans="1:21">
      <c r="A104" s="14">
        <v>2016</v>
      </c>
      <c r="B104" s="14" t="s">
        <v>30</v>
      </c>
      <c r="C104" s="15">
        <v>48313</v>
      </c>
      <c r="D104" s="9">
        <v>19547.44</v>
      </c>
      <c r="E104" s="9">
        <v>113400</v>
      </c>
      <c r="F104" s="9">
        <v>1.94</v>
      </c>
      <c r="G104" s="9">
        <v>5.81093247588424</v>
      </c>
      <c r="H104" s="9">
        <v>9.94375734111475</v>
      </c>
      <c r="I104" s="9">
        <v>7.25</v>
      </c>
      <c r="J104" s="9">
        <v>980.04</v>
      </c>
      <c r="K104" s="9">
        <v>32.8</v>
      </c>
      <c r="L104" s="9">
        <v>16346</v>
      </c>
      <c r="M104" s="9">
        <v>89096</v>
      </c>
      <c r="N104" s="9">
        <v>75.3773973812842</v>
      </c>
      <c r="O104" s="9">
        <v>16.56</v>
      </c>
      <c r="P104" s="9">
        <v>105.7281</v>
      </c>
      <c r="Q104" s="9">
        <v>3.687508</v>
      </c>
      <c r="R104" s="9">
        <v>5.92</v>
      </c>
      <c r="S104" s="9">
        <v>0.4</v>
      </c>
      <c r="T104" s="9">
        <v>7434.4</v>
      </c>
      <c r="U104" s="30">
        <v>99.0608349515906</v>
      </c>
    </row>
    <row r="105" ht="15" spans="1:21">
      <c r="A105" s="14">
        <v>2017</v>
      </c>
      <c r="B105" s="14" t="s">
        <v>30</v>
      </c>
      <c r="C105" s="15">
        <v>60201</v>
      </c>
      <c r="D105" s="9">
        <v>21503.15</v>
      </c>
      <c r="E105" s="9">
        <v>116051</v>
      </c>
      <c r="F105" s="9">
        <v>1.98</v>
      </c>
      <c r="G105" s="9">
        <v>7.83436489311577</v>
      </c>
      <c r="H105" s="9">
        <v>10.1659989350398</v>
      </c>
      <c r="I105" s="9">
        <v>13.35</v>
      </c>
      <c r="J105" s="9">
        <v>1037.17</v>
      </c>
      <c r="K105" s="9">
        <v>32.15</v>
      </c>
      <c r="L105" s="9">
        <v>17685</v>
      </c>
      <c r="M105" s="9">
        <v>98612</v>
      </c>
      <c r="N105" s="9">
        <v>73.3519855595668</v>
      </c>
      <c r="O105" s="9">
        <v>18.5</v>
      </c>
      <c r="P105" s="9">
        <v>106.7335</v>
      </c>
      <c r="Q105" s="9">
        <v>3.829022</v>
      </c>
      <c r="R105" s="9">
        <v>6.17</v>
      </c>
      <c r="S105" s="9">
        <v>0.4</v>
      </c>
      <c r="T105" s="9">
        <v>7434.4</v>
      </c>
      <c r="U105" s="30">
        <v>100.354858337893</v>
      </c>
    </row>
    <row r="106" ht="15" spans="1:21">
      <c r="A106" s="14">
        <v>2018</v>
      </c>
      <c r="B106" s="14" t="s">
        <v>30</v>
      </c>
      <c r="C106" s="15">
        <v>89826</v>
      </c>
      <c r="D106" s="9">
        <v>22859.35</v>
      </c>
      <c r="E106" s="9">
        <v>118510.571605914</v>
      </c>
      <c r="F106" s="9">
        <v>1.91</v>
      </c>
      <c r="G106" s="9">
        <v>6.53065621782953</v>
      </c>
      <c r="H106" s="9">
        <v>10.9634788390746</v>
      </c>
      <c r="I106" s="9">
        <v>17.93</v>
      </c>
      <c r="J106" s="9">
        <v>1102.36</v>
      </c>
      <c r="K106" s="9">
        <v>32.12</v>
      </c>
      <c r="L106" s="9">
        <v>21581.78</v>
      </c>
      <c r="M106" s="9">
        <v>111839</v>
      </c>
      <c r="N106" s="9">
        <v>70.3227634957154</v>
      </c>
      <c r="O106" s="9">
        <v>17.59</v>
      </c>
      <c r="P106" s="9">
        <v>108.6407</v>
      </c>
      <c r="Q106" s="9">
        <v>3.866731</v>
      </c>
      <c r="R106" s="9">
        <v>6.94</v>
      </c>
      <c r="S106" s="9">
        <v>0.4</v>
      </c>
      <c r="T106" s="9">
        <v>7434.4</v>
      </c>
      <c r="U106" s="30">
        <v>100.741041144374</v>
      </c>
    </row>
    <row r="107" ht="15" spans="1:21">
      <c r="A107" s="14">
        <v>2019</v>
      </c>
      <c r="B107" s="14" t="s">
        <v>30</v>
      </c>
      <c r="C107" s="15">
        <v>104811</v>
      </c>
      <c r="D107" s="9">
        <v>23629</v>
      </c>
      <c r="E107" s="9">
        <v>131399.615232734</v>
      </c>
      <c r="F107" s="9">
        <v>1.91</v>
      </c>
      <c r="G107" s="9">
        <v>8.5138535526449</v>
      </c>
      <c r="H107" s="9">
        <v>12.1263278175124</v>
      </c>
      <c r="I107" s="9">
        <v>16.76</v>
      </c>
      <c r="J107" s="9">
        <v>1125.89</v>
      </c>
      <c r="K107" s="9">
        <v>31.97</v>
      </c>
      <c r="L107" s="9">
        <v>24015</v>
      </c>
      <c r="M107" s="9">
        <v>123498</v>
      </c>
      <c r="N107" s="9">
        <v>69.250753243559</v>
      </c>
      <c r="O107" s="9">
        <v>18.29</v>
      </c>
      <c r="P107" s="9">
        <v>115.2994</v>
      </c>
      <c r="Q107" s="9">
        <v>3.369213</v>
      </c>
      <c r="R107" s="9">
        <v>7.29</v>
      </c>
      <c r="S107" s="9">
        <v>4.6</v>
      </c>
      <c r="T107" s="9">
        <v>7434.4</v>
      </c>
      <c r="U107" s="30">
        <v>96.3178067952966</v>
      </c>
    </row>
    <row r="108" ht="15" spans="1:21">
      <c r="A108" s="14">
        <v>2020</v>
      </c>
      <c r="B108" s="14" t="s">
        <v>30</v>
      </c>
      <c r="C108" s="15">
        <v>155835</v>
      </c>
      <c r="D108" s="9">
        <v>25019</v>
      </c>
      <c r="E108" s="9">
        <v>135315.117158796</v>
      </c>
      <c r="F108" s="9">
        <v>1.95</v>
      </c>
      <c r="G108" s="9">
        <v>7.59080825698948</v>
      </c>
      <c r="H108" s="9">
        <v>11.8016307606219</v>
      </c>
      <c r="I108" s="9">
        <v>22.61</v>
      </c>
      <c r="J108" s="9">
        <v>1158.01</v>
      </c>
      <c r="K108" s="9">
        <v>32.39</v>
      </c>
      <c r="L108" s="9">
        <v>27112</v>
      </c>
      <c r="M108" s="9">
        <v>135138</v>
      </c>
      <c r="N108" s="9">
        <v>64.8322206605762</v>
      </c>
      <c r="O108" s="9">
        <v>18.92</v>
      </c>
      <c r="P108" s="9">
        <v>130.7144</v>
      </c>
      <c r="Q108" s="9">
        <v>3.271611</v>
      </c>
      <c r="R108" s="9">
        <v>7.77</v>
      </c>
      <c r="S108" s="9">
        <v>3.4</v>
      </c>
      <c r="T108" s="9">
        <v>7434.4</v>
      </c>
      <c r="U108" s="30">
        <v>97.3942446043165</v>
      </c>
    </row>
    <row r="109" ht="15" spans="1:21">
      <c r="A109" s="14">
        <v>2021</v>
      </c>
      <c r="B109" s="14" t="s">
        <v>30</v>
      </c>
      <c r="C109" s="15">
        <v>189516</v>
      </c>
      <c r="D109" s="9">
        <v>28231.97</v>
      </c>
      <c r="E109" s="9">
        <v>150330.415515048</v>
      </c>
      <c r="F109" s="9">
        <v>2.05</v>
      </c>
      <c r="G109" s="9">
        <v>6.66130452339814</v>
      </c>
      <c r="H109" s="9">
        <v>10.7012723518763</v>
      </c>
      <c r="I109" s="9">
        <v>20.12</v>
      </c>
      <c r="J109" s="9">
        <v>1163.44</v>
      </c>
      <c r="K109" s="9">
        <v>31.75</v>
      </c>
      <c r="L109" s="9">
        <v>30580</v>
      </c>
      <c r="M109" s="9">
        <v>144288</v>
      </c>
      <c r="N109" s="9">
        <v>63.3761556654483</v>
      </c>
      <c r="O109" s="9">
        <v>19.5</v>
      </c>
      <c r="P109" s="9">
        <v>141.2569</v>
      </c>
      <c r="Q109" s="9">
        <v>3.421785</v>
      </c>
      <c r="R109" s="9">
        <v>6.88</v>
      </c>
      <c r="S109" s="9">
        <v>4</v>
      </c>
      <c r="T109" s="9">
        <v>7434.4</v>
      </c>
      <c r="U109" s="30">
        <v>99.427009900497</v>
      </c>
    </row>
    <row r="110" ht="15" spans="1:21">
      <c r="A110" s="14">
        <v>2022</v>
      </c>
      <c r="B110" s="14" t="s">
        <v>30</v>
      </c>
      <c r="C110" s="15">
        <v>146854</v>
      </c>
      <c r="D110" s="9">
        <v>28839</v>
      </c>
      <c r="E110" s="9">
        <v>153593.226316522</v>
      </c>
      <c r="F110" s="9">
        <v>0.81</v>
      </c>
      <c r="G110" s="9">
        <v>6.5579248622806</v>
      </c>
      <c r="H110" s="9">
        <v>10.4804258122681</v>
      </c>
      <c r="I110" s="9">
        <v>18.12</v>
      </c>
      <c r="J110" s="9">
        <v>1119.82</v>
      </c>
      <c r="K110" s="9">
        <v>32.03</v>
      </c>
      <c r="L110" s="9">
        <v>29455</v>
      </c>
      <c r="M110" s="9">
        <v>152324</v>
      </c>
      <c r="N110" s="9">
        <v>60.9311639477779</v>
      </c>
      <c r="O110" s="9">
        <v>20.74</v>
      </c>
      <c r="P110" s="9">
        <v>148.9276</v>
      </c>
      <c r="Q110" s="9">
        <v>3.479003</v>
      </c>
      <c r="R110" s="9">
        <v>8.32</v>
      </c>
      <c r="S110" s="9">
        <v>3.6</v>
      </c>
      <c r="T110" s="9">
        <v>7434.4</v>
      </c>
      <c r="U110" s="30">
        <v>98.0396356028537</v>
      </c>
    </row>
    <row r="111" s="4" customFormat="1" ht="15" spans="1:21">
      <c r="A111" s="16">
        <v>2023</v>
      </c>
      <c r="B111" s="16" t="s">
        <v>30</v>
      </c>
      <c r="C111" s="17">
        <v>118070</v>
      </c>
      <c r="D111" s="4">
        <v>30356</v>
      </c>
      <c r="E111" s="4">
        <v>161633.851692347</v>
      </c>
      <c r="F111" s="4">
        <v>1.46</v>
      </c>
      <c r="G111" s="4">
        <v>6.5606649504484</v>
      </c>
      <c r="H111" s="4">
        <v>9.78933324548689</v>
      </c>
      <c r="I111" s="4">
        <v>17.77</v>
      </c>
      <c r="J111" s="4">
        <v>1138.8</v>
      </c>
      <c r="K111" s="4">
        <v>31.18</v>
      </c>
      <c r="L111" s="4">
        <v>32433</v>
      </c>
      <c r="M111" s="4">
        <v>158318</v>
      </c>
      <c r="N111" s="4">
        <v>61.4655172627969</v>
      </c>
      <c r="O111" s="4">
        <v>21.65</v>
      </c>
      <c r="P111" s="4">
        <v>146.8613</v>
      </c>
      <c r="Q111" s="4">
        <v>3.451889</v>
      </c>
      <c r="R111" s="4">
        <v>10.27</v>
      </c>
      <c r="S111" s="4">
        <v>3.4</v>
      </c>
      <c r="T111" s="4">
        <v>7434.4</v>
      </c>
      <c r="U111" s="31">
        <v>100.020435069215</v>
      </c>
    </row>
    <row r="112" ht="15" spans="1:21">
      <c r="A112" s="14">
        <v>2013</v>
      </c>
      <c r="B112" s="14" t="s">
        <v>31</v>
      </c>
      <c r="C112" s="15">
        <v>49756</v>
      </c>
      <c r="D112" s="9">
        <v>14500.23</v>
      </c>
      <c r="E112" s="9">
        <v>124208</v>
      </c>
      <c r="F112" s="9">
        <v>0.23</v>
      </c>
      <c r="G112" s="22">
        <v>7.86477647072739</v>
      </c>
      <c r="H112" s="9">
        <v>11.6607115887127</v>
      </c>
      <c r="I112" s="5">
        <v>20.2659</v>
      </c>
      <c r="J112" s="9">
        <v>953.33</v>
      </c>
      <c r="K112" s="5">
        <v>36.1</v>
      </c>
      <c r="L112" s="9">
        <v>23427</v>
      </c>
      <c r="M112" s="9">
        <v>77721</v>
      </c>
      <c r="N112" s="5">
        <v>64.5227319043919</v>
      </c>
      <c r="O112" s="9">
        <v>17.02</v>
      </c>
      <c r="P112" s="9">
        <v>8.2401</v>
      </c>
      <c r="Q112" s="9">
        <v>3.54221</v>
      </c>
      <c r="R112" s="9">
        <v>16.25</v>
      </c>
      <c r="S112" s="9">
        <v>0.56</v>
      </c>
      <c r="T112" s="9">
        <v>1997.47</v>
      </c>
      <c r="U112" s="30">
        <v>100.02</v>
      </c>
    </row>
    <row r="113" ht="15" spans="1:21">
      <c r="A113" s="14">
        <v>2014</v>
      </c>
      <c r="B113" s="14" t="s">
        <v>31</v>
      </c>
      <c r="C113" s="15">
        <v>53687</v>
      </c>
      <c r="D113" s="9">
        <v>16001.82</v>
      </c>
      <c r="E113" s="9">
        <v>130448</v>
      </c>
      <c r="F113" s="9">
        <v>0.22</v>
      </c>
      <c r="G113" s="22">
        <v>4.36574984534988</v>
      </c>
      <c r="H113" s="9">
        <v>13.5370851565634</v>
      </c>
      <c r="I113" s="5">
        <v>17.522</v>
      </c>
      <c r="J113" s="9">
        <v>1009.6</v>
      </c>
      <c r="K113" s="5">
        <v>33.1</v>
      </c>
      <c r="L113" s="9">
        <v>24040</v>
      </c>
      <c r="M113" s="9">
        <v>73492</v>
      </c>
      <c r="N113" s="5">
        <v>70.4620494285435</v>
      </c>
      <c r="O113" s="9">
        <v>15.21</v>
      </c>
      <c r="P113" s="9">
        <v>8.7674</v>
      </c>
      <c r="Q113" s="9">
        <v>3.898913</v>
      </c>
      <c r="R113" s="9">
        <v>15.08</v>
      </c>
      <c r="S113" s="9">
        <v>0.56</v>
      </c>
      <c r="T113" s="9">
        <v>1997.47</v>
      </c>
      <c r="U113" s="30">
        <v>99.9773573345587</v>
      </c>
    </row>
    <row r="114" ht="15" spans="1:21">
      <c r="A114" s="14">
        <v>2015</v>
      </c>
      <c r="B114" s="14" t="s">
        <v>31</v>
      </c>
      <c r="C114" s="15">
        <v>72120</v>
      </c>
      <c r="D114" s="9">
        <v>17502.86</v>
      </c>
      <c r="E114" s="9">
        <v>135271</v>
      </c>
      <c r="F114" s="9">
        <v>0.23</v>
      </c>
      <c r="G114" s="22">
        <v>6.0857490906303</v>
      </c>
      <c r="H114" s="9">
        <v>20.1205403002709</v>
      </c>
      <c r="I114" s="5">
        <v>17.2117</v>
      </c>
      <c r="J114" s="9">
        <v>1083.35</v>
      </c>
      <c r="K114" s="5">
        <v>32</v>
      </c>
      <c r="L114" s="9">
        <v>33661</v>
      </c>
      <c r="M114" s="9">
        <v>81034</v>
      </c>
      <c r="N114" s="5">
        <v>72.5001288275794</v>
      </c>
      <c r="O114" s="9">
        <v>8.19</v>
      </c>
      <c r="P114" s="9">
        <v>9.0112</v>
      </c>
      <c r="Q114" s="9">
        <v>3.906169</v>
      </c>
      <c r="R114" s="9">
        <v>14.97</v>
      </c>
      <c r="S114" s="9">
        <v>0.56</v>
      </c>
      <c r="T114" s="9">
        <v>1997.47</v>
      </c>
      <c r="U114" s="30">
        <v>99.9293822949421</v>
      </c>
    </row>
    <row r="115" ht="15" spans="1:21">
      <c r="A115" s="14">
        <v>2016</v>
      </c>
      <c r="B115" s="14" t="s">
        <v>31</v>
      </c>
      <c r="C115" s="15">
        <v>75043</v>
      </c>
      <c r="D115" s="9">
        <v>19492.6</v>
      </c>
      <c r="E115" s="9">
        <v>142494</v>
      </c>
      <c r="F115" s="9">
        <v>0.23</v>
      </c>
      <c r="G115" s="22">
        <v>9.5824309434249</v>
      </c>
      <c r="H115" s="9">
        <v>21.6032750890081</v>
      </c>
      <c r="I115" s="5">
        <v>20.1457</v>
      </c>
      <c r="J115" s="9">
        <v>1141.42</v>
      </c>
      <c r="K115" s="5">
        <v>30.5</v>
      </c>
      <c r="L115" s="9">
        <v>45498</v>
      </c>
      <c r="M115" s="9">
        <v>89757</v>
      </c>
      <c r="N115" s="5">
        <v>74.916521203409</v>
      </c>
      <c r="O115" s="9">
        <v>9.85</v>
      </c>
      <c r="P115" s="9">
        <v>9.1883</v>
      </c>
      <c r="Q115" s="9">
        <v>4.118348</v>
      </c>
      <c r="R115" s="9">
        <v>15.58</v>
      </c>
      <c r="S115" s="9">
        <v>0.56</v>
      </c>
      <c r="T115" s="9">
        <v>1997.47</v>
      </c>
      <c r="U115" s="30">
        <v>99.9422035039755</v>
      </c>
    </row>
    <row r="116" ht="15" spans="1:21">
      <c r="A116" s="14">
        <v>2017</v>
      </c>
      <c r="B116" s="14" t="s">
        <v>31</v>
      </c>
      <c r="C116" s="15">
        <v>94250</v>
      </c>
      <c r="D116" s="9">
        <v>22490.06</v>
      </c>
      <c r="E116" s="9">
        <v>150739</v>
      </c>
      <c r="F116" s="9">
        <v>0.22</v>
      </c>
      <c r="G116" s="22">
        <v>7.65880099264226</v>
      </c>
      <c r="H116" s="9">
        <v>20.4259126031678</v>
      </c>
      <c r="I116" s="5">
        <v>32.8428</v>
      </c>
      <c r="J116" s="9">
        <v>1207.79</v>
      </c>
      <c r="K116" s="5">
        <v>30</v>
      </c>
      <c r="L116" s="9">
        <v>48622</v>
      </c>
      <c r="M116" s="9">
        <v>100173</v>
      </c>
      <c r="N116" s="5">
        <v>72.3867543163701</v>
      </c>
      <c r="O116" s="9">
        <v>11.08</v>
      </c>
      <c r="P116" s="9">
        <v>8.0613</v>
      </c>
      <c r="Q116" s="9">
        <v>4.043705</v>
      </c>
      <c r="R116" s="9">
        <v>16.44</v>
      </c>
      <c r="S116" s="9">
        <v>0.56</v>
      </c>
      <c r="T116" s="9">
        <v>1997.47</v>
      </c>
      <c r="U116" s="30">
        <v>99.6066669780414</v>
      </c>
    </row>
    <row r="117" ht="15" spans="1:21">
      <c r="A117" s="14">
        <v>2018</v>
      </c>
      <c r="B117" s="14" t="s">
        <v>31</v>
      </c>
      <c r="C117" s="15">
        <v>140202</v>
      </c>
      <c r="D117" s="9">
        <v>24221.98</v>
      </c>
      <c r="E117" s="9">
        <v>155320</v>
      </c>
      <c r="F117" s="9">
        <v>0.22</v>
      </c>
      <c r="G117" s="22">
        <v>12.9590712097437</v>
      </c>
      <c r="H117" s="9">
        <v>17.6804703826855</v>
      </c>
      <c r="I117" s="5">
        <v>40.9819</v>
      </c>
      <c r="J117" s="9">
        <v>1214.49</v>
      </c>
      <c r="K117" s="5">
        <v>29.2</v>
      </c>
      <c r="L117" s="9">
        <v>55441.01</v>
      </c>
      <c r="M117" s="9">
        <v>111709</v>
      </c>
      <c r="N117" s="5">
        <v>70.4422385808326</v>
      </c>
      <c r="O117" s="9">
        <v>13.65</v>
      </c>
      <c r="P117" s="33">
        <v>11.10208</v>
      </c>
      <c r="Q117" s="9">
        <v>3.935046</v>
      </c>
      <c r="R117" s="9">
        <v>24.66</v>
      </c>
      <c r="S117" s="9">
        <v>0.56</v>
      </c>
      <c r="T117" s="9">
        <v>1997.47</v>
      </c>
      <c r="U117" s="30">
        <v>99.8550741373736</v>
      </c>
    </row>
    <row r="118" ht="15" spans="1:21">
      <c r="A118" s="14">
        <v>2019</v>
      </c>
      <c r="B118" s="14" t="s">
        <v>31</v>
      </c>
      <c r="C118" s="15">
        <v>166609</v>
      </c>
      <c r="D118" s="9">
        <v>26927</v>
      </c>
      <c r="E118" s="9">
        <v>159883</v>
      </c>
      <c r="F118" s="9">
        <v>0.2</v>
      </c>
      <c r="G118" s="22">
        <v>12.0459592376442</v>
      </c>
      <c r="H118" s="9">
        <v>16.9076763100234</v>
      </c>
      <c r="I118" s="5">
        <v>34.7859</v>
      </c>
      <c r="J118" s="9">
        <v>1230.29</v>
      </c>
      <c r="K118" s="5">
        <v>29.4</v>
      </c>
      <c r="L118" s="9">
        <v>55769</v>
      </c>
      <c r="M118" s="9">
        <v>127757</v>
      </c>
      <c r="N118" s="5">
        <v>68.9556063106982</v>
      </c>
      <c r="O118" s="9">
        <v>15.74</v>
      </c>
      <c r="P118" s="33">
        <v>11.10208</v>
      </c>
      <c r="Q118" s="9">
        <v>3.610928</v>
      </c>
      <c r="R118" s="9">
        <v>25.02</v>
      </c>
      <c r="S118" s="9">
        <v>5.6</v>
      </c>
      <c r="T118" s="9">
        <v>1997.47</v>
      </c>
      <c r="U118" s="30">
        <v>99.8887254068362</v>
      </c>
    </row>
    <row r="119" ht="15" spans="1:21">
      <c r="A119" s="14">
        <v>2020</v>
      </c>
      <c r="B119" s="14" t="s">
        <v>31</v>
      </c>
      <c r="C119" s="15">
        <v>222412</v>
      </c>
      <c r="D119" s="9">
        <v>27670</v>
      </c>
      <c r="E119" s="9">
        <v>159820</v>
      </c>
      <c r="F119" s="9">
        <v>0.22</v>
      </c>
      <c r="G119" s="22">
        <v>8.05639452233141</v>
      </c>
      <c r="H119" s="9">
        <v>15.1009035056017</v>
      </c>
      <c r="I119" s="5">
        <v>32.003</v>
      </c>
      <c r="J119" s="9">
        <v>1239.61</v>
      </c>
      <c r="K119" s="5">
        <v>30.8</v>
      </c>
      <c r="L119" s="9">
        <v>56844</v>
      </c>
      <c r="M119" s="9">
        <v>139436</v>
      </c>
      <c r="N119" s="5">
        <v>62.5501520553287</v>
      </c>
      <c r="O119" s="9">
        <v>20.36</v>
      </c>
      <c r="P119" s="9">
        <v>10.9986</v>
      </c>
      <c r="Q119" s="9">
        <v>3.417218</v>
      </c>
      <c r="R119" s="9">
        <v>28.29</v>
      </c>
      <c r="S119" s="9">
        <v>6.8</v>
      </c>
      <c r="T119" s="9">
        <v>1997.47</v>
      </c>
      <c r="U119" s="30">
        <v>99.8788694481829</v>
      </c>
    </row>
    <row r="120" ht="15" spans="1:21">
      <c r="A120" s="14">
        <v>2021</v>
      </c>
      <c r="B120" s="14" t="s">
        <v>31</v>
      </c>
      <c r="C120" s="15">
        <v>279177</v>
      </c>
      <c r="D120" s="9">
        <v>30664.85</v>
      </c>
      <c r="E120" s="9">
        <v>174542</v>
      </c>
      <c r="F120" s="9">
        <v>0.23</v>
      </c>
      <c r="G120" s="22">
        <v>8.36392996398423</v>
      </c>
      <c r="H120" s="9">
        <v>14.9037741909711</v>
      </c>
      <c r="I120" s="5">
        <v>34.3274</v>
      </c>
      <c r="J120" s="9">
        <v>1245.42</v>
      </c>
      <c r="K120" s="5">
        <v>29.6</v>
      </c>
      <c r="L120" s="9">
        <v>61601</v>
      </c>
      <c r="M120" s="9">
        <v>155563</v>
      </c>
      <c r="N120" s="5">
        <v>65.3316357856968</v>
      </c>
      <c r="O120" s="9">
        <v>21.11</v>
      </c>
      <c r="P120" s="9">
        <v>11.6479</v>
      </c>
      <c r="Q120" s="9">
        <v>3.258921</v>
      </c>
      <c r="R120" s="9">
        <v>27.56</v>
      </c>
      <c r="S120" s="9">
        <v>5</v>
      </c>
      <c r="T120" s="9">
        <v>1997.47</v>
      </c>
      <c r="U120" s="30">
        <v>99.980299514166</v>
      </c>
    </row>
    <row r="121" ht="15" spans="1:21">
      <c r="A121" s="14">
        <v>2022</v>
      </c>
      <c r="B121" s="14" t="s">
        <v>31</v>
      </c>
      <c r="C121" s="15">
        <v>275774</v>
      </c>
      <c r="D121" s="9">
        <v>32387.68</v>
      </c>
      <c r="E121" s="9">
        <v>183801</v>
      </c>
      <c r="F121" s="9">
        <v>0.23</v>
      </c>
      <c r="G121" s="22">
        <v>9.17961011570063</v>
      </c>
      <c r="H121" s="9">
        <v>15.4298795097395</v>
      </c>
      <c r="I121" s="5">
        <v>18.1057</v>
      </c>
      <c r="J121" s="9">
        <v>1193.41</v>
      </c>
      <c r="K121" s="5">
        <v>29.7</v>
      </c>
      <c r="L121" s="9">
        <v>55758</v>
      </c>
      <c r="M121" s="9">
        <v>164754</v>
      </c>
      <c r="N121" s="5">
        <v>61.5979218407496</v>
      </c>
      <c r="O121" s="9">
        <v>18.99</v>
      </c>
      <c r="P121" s="9">
        <v>19.5943</v>
      </c>
      <c r="Q121" s="9">
        <v>3.354563</v>
      </c>
      <c r="R121" s="9">
        <v>30.09</v>
      </c>
      <c r="S121" s="9">
        <v>6.2</v>
      </c>
      <c r="T121" s="9">
        <v>1997.47</v>
      </c>
      <c r="U121" s="30">
        <v>100.055141830593</v>
      </c>
    </row>
    <row r="122" s="4" customFormat="1" ht="15" spans="1:21">
      <c r="A122" s="16">
        <v>2023</v>
      </c>
      <c r="B122" s="16" t="s">
        <v>31</v>
      </c>
      <c r="C122" s="17">
        <v>235100</v>
      </c>
      <c r="D122" s="4">
        <v>34606</v>
      </c>
      <c r="E122" s="4">
        <v>195230</v>
      </c>
      <c r="F122" s="4">
        <v>0.18</v>
      </c>
      <c r="G122" s="24">
        <v>9.07623647612036</v>
      </c>
      <c r="H122" s="4">
        <v>14.4842801826273</v>
      </c>
      <c r="I122" s="27">
        <v>23.7505</v>
      </c>
      <c r="J122" s="4">
        <v>1228.9</v>
      </c>
      <c r="K122" s="27">
        <v>29.4</v>
      </c>
      <c r="L122" s="4">
        <v>50010</v>
      </c>
      <c r="M122" s="4">
        <v>174640</v>
      </c>
      <c r="N122" s="27">
        <v>63.7277337147315</v>
      </c>
      <c r="O122" s="4">
        <v>19.98</v>
      </c>
      <c r="P122" s="4">
        <v>11.9612</v>
      </c>
      <c r="Q122" s="4">
        <v>3.467204</v>
      </c>
      <c r="R122" s="4">
        <v>35.93</v>
      </c>
      <c r="S122" s="4">
        <v>5.4</v>
      </c>
      <c r="T122" s="4">
        <v>1997.47</v>
      </c>
      <c r="U122" s="31">
        <v>100.028850661762</v>
      </c>
    </row>
    <row r="123" ht="15" spans="1:21">
      <c r="A123" s="14">
        <v>2013</v>
      </c>
      <c r="B123" s="14" t="s">
        <v>32</v>
      </c>
      <c r="C123" s="15">
        <v>24800</v>
      </c>
      <c r="D123" s="9">
        <v>13027.6</v>
      </c>
      <c r="E123" s="9">
        <v>42795</v>
      </c>
      <c r="F123" s="9">
        <v>5.04</v>
      </c>
      <c r="G123" s="9">
        <v>1.26360554247403</v>
      </c>
      <c r="H123" s="9">
        <v>23.48043538334</v>
      </c>
      <c r="I123" s="9">
        <v>-3.8842</v>
      </c>
      <c r="J123" s="9">
        <v>1618.69</v>
      </c>
      <c r="K123" s="9">
        <v>35</v>
      </c>
      <c r="L123" s="9">
        <v>5239</v>
      </c>
      <c r="M123" s="9">
        <v>51015</v>
      </c>
      <c r="N123" s="9">
        <v>74.2648972157169</v>
      </c>
      <c r="O123" s="9">
        <v>14.3</v>
      </c>
      <c r="P123" s="9">
        <v>65.94</v>
      </c>
      <c r="Q123" s="9">
        <v>2.839613</v>
      </c>
      <c r="R123" s="9">
        <v>3.6605</v>
      </c>
      <c r="S123" s="9">
        <v>2.36</v>
      </c>
      <c r="T123" s="9">
        <v>82300</v>
      </c>
      <c r="U123" s="30">
        <v>94.77</v>
      </c>
    </row>
    <row r="124" ht="15" spans="1:21">
      <c r="A124" s="14">
        <v>2014</v>
      </c>
      <c r="B124" s="14" t="s">
        <v>32</v>
      </c>
      <c r="C124" s="15">
        <v>24300</v>
      </c>
      <c r="D124" s="9">
        <v>14623.8</v>
      </c>
      <c r="E124" s="9">
        <v>47850</v>
      </c>
      <c r="F124" s="9">
        <v>4.46</v>
      </c>
      <c r="G124" s="9">
        <v>1.15497016028745</v>
      </c>
      <c r="H124" s="9">
        <v>22.5959627456612</v>
      </c>
      <c r="I124" s="9">
        <v>-3.6334</v>
      </c>
      <c r="J124" s="9">
        <v>1632.12</v>
      </c>
      <c r="K124" s="9">
        <v>34.5</v>
      </c>
      <c r="L124" s="9">
        <v>5094</v>
      </c>
      <c r="M124" s="9">
        <v>56852</v>
      </c>
      <c r="N124" s="9">
        <v>72.6885910844236</v>
      </c>
      <c r="O124" s="9">
        <v>14.22</v>
      </c>
      <c r="P124" s="9">
        <v>69.1555</v>
      </c>
      <c r="Q124" s="9">
        <v>3.05007</v>
      </c>
      <c r="R124" s="9">
        <v>4.3797</v>
      </c>
      <c r="S124" s="9">
        <v>2.36</v>
      </c>
      <c r="T124" s="9">
        <v>82300</v>
      </c>
      <c r="U124" s="30">
        <v>96.9051497306103</v>
      </c>
    </row>
    <row r="125" ht="15" spans="1:21">
      <c r="A125" s="14">
        <v>2015</v>
      </c>
      <c r="B125" s="14" t="s">
        <v>32</v>
      </c>
      <c r="C125" s="15">
        <v>38900</v>
      </c>
      <c r="D125" s="9">
        <v>16040.5</v>
      </c>
      <c r="E125" s="9">
        <v>52321</v>
      </c>
      <c r="F125" s="9">
        <v>4.18</v>
      </c>
      <c r="G125" s="9">
        <v>1.19745957303232</v>
      </c>
      <c r="H125" s="9">
        <v>23.7761640846607</v>
      </c>
      <c r="I125" s="9">
        <v>-3.5529</v>
      </c>
      <c r="J125" s="9">
        <v>1647.41</v>
      </c>
      <c r="K125" s="9">
        <v>33.6</v>
      </c>
      <c r="L125" s="9">
        <v>5012</v>
      </c>
      <c r="M125" s="9">
        <v>62091</v>
      </c>
      <c r="N125" s="9">
        <v>72.4769631777965</v>
      </c>
      <c r="O125" s="9">
        <v>14.06</v>
      </c>
      <c r="P125" s="9">
        <v>71.658</v>
      </c>
      <c r="Q125" s="9">
        <v>3.238501</v>
      </c>
      <c r="R125" s="9">
        <v>4.5129</v>
      </c>
      <c r="S125" s="9">
        <v>2.36</v>
      </c>
      <c r="T125" s="9">
        <v>82300</v>
      </c>
      <c r="U125" s="30">
        <v>94.5648337686171</v>
      </c>
    </row>
    <row r="126" ht="15" spans="1:21">
      <c r="A126" s="14">
        <v>2016</v>
      </c>
      <c r="B126" s="14" t="s">
        <v>32</v>
      </c>
      <c r="C126" s="15">
        <v>42700</v>
      </c>
      <c r="D126" s="9">
        <v>18023</v>
      </c>
      <c r="E126" s="9">
        <v>58502</v>
      </c>
      <c r="F126" s="9">
        <v>4.18</v>
      </c>
      <c r="G126" s="9">
        <v>1.28993662616082</v>
      </c>
      <c r="H126" s="9">
        <v>22.203900571492</v>
      </c>
      <c r="I126" s="9">
        <v>-3.4368</v>
      </c>
      <c r="J126" s="9">
        <v>1658.32</v>
      </c>
      <c r="K126" s="9">
        <v>32.7</v>
      </c>
      <c r="L126" s="9">
        <v>5162</v>
      </c>
      <c r="M126" s="9">
        <v>67386</v>
      </c>
      <c r="N126" s="9">
        <v>71.0266801756163</v>
      </c>
      <c r="O126" s="9">
        <v>14.37</v>
      </c>
      <c r="P126" s="9">
        <v>73.2475</v>
      </c>
      <c r="Q126" s="9">
        <v>3.525004</v>
      </c>
      <c r="R126" s="9">
        <v>4.7392</v>
      </c>
      <c r="S126" s="9">
        <v>2.36</v>
      </c>
      <c r="T126" s="9">
        <v>82300</v>
      </c>
      <c r="U126" s="30">
        <v>91.4653215636822</v>
      </c>
    </row>
    <row r="127" ht="15" spans="1:21">
      <c r="A127" s="14">
        <v>2017</v>
      </c>
      <c r="B127" s="14" t="s">
        <v>32</v>
      </c>
      <c r="C127" s="15">
        <v>35000</v>
      </c>
      <c r="D127" s="9">
        <v>20066.3</v>
      </c>
      <c r="E127" s="9">
        <v>63689</v>
      </c>
      <c r="F127" s="9">
        <v>3.43</v>
      </c>
      <c r="G127" s="9">
        <v>1.36770918852104</v>
      </c>
      <c r="H127" s="9">
        <v>21.6097636335548</v>
      </c>
      <c r="I127" s="9">
        <v>-3.1466</v>
      </c>
      <c r="J127" s="9">
        <v>1659.33</v>
      </c>
      <c r="K127" s="9">
        <v>32.1</v>
      </c>
      <c r="L127" s="9">
        <v>6605</v>
      </c>
      <c r="M127" s="9">
        <v>73272</v>
      </c>
      <c r="N127" s="9">
        <v>70.6954928089957</v>
      </c>
      <c r="O127" s="9">
        <v>14.44</v>
      </c>
      <c r="P127" s="9">
        <v>74.6859</v>
      </c>
      <c r="Q127" s="9">
        <v>3.167746</v>
      </c>
      <c r="R127" s="9">
        <v>5.6416</v>
      </c>
      <c r="S127" s="9">
        <v>2.36</v>
      </c>
      <c r="T127" s="9">
        <v>82300</v>
      </c>
      <c r="U127" s="30">
        <v>98.0815347721823</v>
      </c>
    </row>
    <row r="128" ht="15" spans="1:21">
      <c r="A128" s="14">
        <v>2018</v>
      </c>
      <c r="B128" s="14" t="s">
        <v>32</v>
      </c>
      <c r="C128" s="15">
        <v>45700</v>
      </c>
      <c r="D128" s="9">
        <v>21588.8</v>
      </c>
      <c r="E128" s="9">
        <v>68464</v>
      </c>
      <c r="F128" s="9">
        <v>3.15</v>
      </c>
      <c r="G128" s="9">
        <v>1.51044868663678</v>
      </c>
      <c r="H128" s="9">
        <v>21.033817071815</v>
      </c>
      <c r="I128" s="9">
        <v>-3.0185</v>
      </c>
      <c r="J128" s="9">
        <v>1663.23</v>
      </c>
      <c r="K128" s="9">
        <v>31.5</v>
      </c>
      <c r="L128" s="9">
        <v>8189.98</v>
      </c>
      <c r="M128" s="9">
        <v>81764</v>
      </c>
      <c r="N128" s="9">
        <v>69.2309897102239</v>
      </c>
      <c r="O128" s="9">
        <v>15</v>
      </c>
      <c r="P128" s="9">
        <v>76.2811</v>
      </c>
      <c r="Q128" s="9">
        <v>3.207551</v>
      </c>
      <c r="R128" s="9">
        <v>6.1956</v>
      </c>
      <c r="S128" s="9">
        <v>2.36</v>
      </c>
      <c r="T128" s="9">
        <v>82300</v>
      </c>
      <c r="U128" s="30">
        <v>93.2610837438423</v>
      </c>
    </row>
    <row r="129" ht="15" spans="1:21">
      <c r="A129" s="14">
        <v>2019</v>
      </c>
      <c r="B129" s="14" t="s">
        <v>32</v>
      </c>
      <c r="C129" s="15">
        <v>43900</v>
      </c>
      <c r="D129" s="9">
        <v>23605.77</v>
      </c>
      <c r="E129" s="9">
        <v>74337</v>
      </c>
      <c r="F129" s="9">
        <v>3.01</v>
      </c>
      <c r="G129" s="9">
        <v>1.63445004976092</v>
      </c>
      <c r="H129" s="9">
        <v>20.5359939540206</v>
      </c>
      <c r="I129" s="9">
        <v>-2.9197</v>
      </c>
      <c r="J129" s="9">
        <v>1668.16</v>
      </c>
      <c r="K129" s="9">
        <v>31.2</v>
      </c>
      <c r="L129" s="9">
        <v>8657</v>
      </c>
      <c r="M129" s="9">
        <v>89714</v>
      </c>
      <c r="N129" s="9">
        <v>67.9643638472285</v>
      </c>
      <c r="O129" s="9">
        <v>15.02</v>
      </c>
      <c r="P129" s="9">
        <v>83.4864</v>
      </c>
      <c r="Q129" s="9">
        <v>3.181304</v>
      </c>
      <c r="R129" s="9">
        <v>6.2424</v>
      </c>
      <c r="S129" s="9">
        <v>2.8</v>
      </c>
      <c r="T129" s="9">
        <v>82300</v>
      </c>
      <c r="U129" s="30">
        <v>91.4282314560949</v>
      </c>
    </row>
    <row r="130" ht="15" spans="1:21">
      <c r="A130" s="14">
        <v>2020</v>
      </c>
      <c r="B130" s="14" t="s">
        <v>32</v>
      </c>
      <c r="C130" s="15">
        <v>55400</v>
      </c>
      <c r="D130" s="9">
        <v>25041.43</v>
      </c>
      <c r="E130" s="9">
        <v>78294</v>
      </c>
      <c r="F130" s="9">
        <v>2.83</v>
      </c>
      <c r="G130" s="9">
        <v>1.69336151863217</v>
      </c>
      <c r="H130" s="9">
        <v>19.5433970823551</v>
      </c>
      <c r="I130" s="9">
        <v>-1.8986</v>
      </c>
      <c r="J130" s="9">
        <v>1676.01</v>
      </c>
      <c r="K130" s="9">
        <v>32.6</v>
      </c>
      <c r="L130" s="9">
        <v>8917</v>
      </c>
      <c r="M130" s="9">
        <v>98380</v>
      </c>
      <c r="N130" s="9">
        <v>66.1500774883768</v>
      </c>
      <c r="O130" s="9">
        <v>15.43</v>
      </c>
      <c r="P130" s="9">
        <v>91.5556</v>
      </c>
      <c r="Q130" s="9">
        <v>3.285602</v>
      </c>
      <c r="R130" s="9">
        <v>6.9843</v>
      </c>
      <c r="S130" s="9">
        <v>1.8</v>
      </c>
      <c r="T130" s="9">
        <v>82300</v>
      </c>
      <c r="U130" s="30">
        <v>82.4505802209437</v>
      </c>
    </row>
    <row r="131" ht="15" spans="1:21">
      <c r="A131" s="14">
        <v>2021</v>
      </c>
      <c r="B131" s="14" t="s">
        <v>32</v>
      </c>
      <c r="C131" s="15">
        <v>76206</v>
      </c>
      <c r="D131" s="9">
        <v>28077.28</v>
      </c>
      <c r="E131" s="9">
        <v>87450</v>
      </c>
      <c r="F131" s="9">
        <v>0.51</v>
      </c>
      <c r="G131" s="9">
        <v>1.91602159818199</v>
      </c>
      <c r="H131" s="9">
        <v>17.2205252788019</v>
      </c>
      <c r="I131" s="9">
        <v>-1.8208</v>
      </c>
      <c r="J131" s="9">
        <v>1668.27</v>
      </c>
      <c r="K131" s="9">
        <v>32</v>
      </c>
      <c r="L131" s="9">
        <v>9678</v>
      </c>
      <c r="M131" s="9">
        <v>106966</v>
      </c>
      <c r="N131" s="9">
        <v>68.617534825985</v>
      </c>
      <c r="O131" s="9">
        <v>16.44</v>
      </c>
      <c r="P131" s="9">
        <v>100.272</v>
      </c>
      <c r="Q131" s="9">
        <v>3.622305</v>
      </c>
      <c r="R131" s="9">
        <v>8.3845</v>
      </c>
      <c r="S131" s="9">
        <v>2.6</v>
      </c>
      <c r="T131" s="9">
        <v>82300</v>
      </c>
      <c r="U131" s="30">
        <v>96.1009272526641</v>
      </c>
    </row>
    <row r="132" ht="15" spans="1:21">
      <c r="A132" s="14">
        <v>2022</v>
      </c>
      <c r="B132" s="14" t="s">
        <v>32</v>
      </c>
      <c r="C132" s="15">
        <v>66467</v>
      </c>
      <c r="D132" s="9">
        <v>28576.1</v>
      </c>
      <c r="E132" s="9">
        <v>90663</v>
      </c>
      <c r="F132" s="9">
        <v>0.44</v>
      </c>
      <c r="G132" s="9">
        <v>2.02110101748523</v>
      </c>
      <c r="H132" s="9">
        <v>17.1218913707609</v>
      </c>
      <c r="I132" s="9">
        <f>AVERAGE($I$2:$I$78,$I$101:$I$131,$I$134:$I$144)</f>
        <v>10.8458189915966</v>
      </c>
      <c r="J132" s="9">
        <v>1644.37</v>
      </c>
      <c r="K132" s="9">
        <v>33</v>
      </c>
      <c r="L132" s="9">
        <v>8526</v>
      </c>
      <c r="M132" s="9">
        <v>111424</v>
      </c>
      <c r="N132" s="9">
        <v>67.1823155859281</v>
      </c>
      <c r="O132" s="9">
        <v>16.8</v>
      </c>
      <c r="P132" s="9">
        <v>106.6133</v>
      </c>
      <c r="Q132" s="9">
        <v>3.390713</v>
      </c>
      <c r="R132" s="9">
        <v>8.3623</v>
      </c>
      <c r="S132" s="9">
        <v>2.4</v>
      </c>
      <c r="T132" s="9">
        <v>82300</v>
      </c>
      <c r="U132" s="30">
        <v>81.8190930596206</v>
      </c>
    </row>
    <row r="133" s="4" customFormat="1" ht="15" spans="1:21">
      <c r="A133" s="16">
        <v>2023</v>
      </c>
      <c r="B133" s="16" t="s">
        <v>32</v>
      </c>
      <c r="C133" s="17">
        <v>54100</v>
      </c>
      <c r="D133" s="4">
        <v>30145.8</v>
      </c>
      <c r="E133" s="4">
        <v>94135</v>
      </c>
      <c r="F133" s="4">
        <v>0.25</v>
      </c>
      <c r="G133" s="24">
        <v>1.932285</v>
      </c>
      <c r="H133" s="4">
        <v>17.596481101845</v>
      </c>
      <c r="I133" s="4">
        <f>AVERAGE($I$2:$I$78,$I$101:$I$131,$I$134:$I$144)</f>
        <v>10.8458189915966</v>
      </c>
      <c r="J133" s="4">
        <v>1662</v>
      </c>
      <c r="K133" s="4">
        <v>31.8</v>
      </c>
      <c r="L133" s="4">
        <v>8558</v>
      </c>
      <c r="M133" s="4">
        <v>117446</v>
      </c>
      <c r="N133" s="4">
        <v>66.4720143354063</v>
      </c>
      <c r="O133" s="27">
        <v>16.13694</v>
      </c>
      <c r="P133" s="4">
        <v>110.017</v>
      </c>
      <c r="Q133" s="36">
        <v>3.506509</v>
      </c>
      <c r="R133" s="4">
        <v>8.6802</v>
      </c>
      <c r="S133" s="4">
        <v>2.2</v>
      </c>
      <c r="T133" s="4">
        <v>82300</v>
      </c>
      <c r="U133" s="31">
        <v>96.0438300312161</v>
      </c>
    </row>
    <row r="134" ht="15" spans="1:21">
      <c r="A134" s="14">
        <v>2013</v>
      </c>
      <c r="B134" s="14" t="s">
        <v>33</v>
      </c>
      <c r="C134" s="15">
        <v>33256</v>
      </c>
      <c r="D134" s="9">
        <v>9108.89</v>
      </c>
      <c r="E134" s="9">
        <v>58230.5184427539</v>
      </c>
      <c r="F134" s="9">
        <v>7.63</v>
      </c>
      <c r="G134" s="9">
        <v>2.698861936</v>
      </c>
      <c r="H134" s="9">
        <v>12.7540699250952</v>
      </c>
      <c r="I134" s="9">
        <v>11.4442</v>
      </c>
      <c r="J134" s="9">
        <v>857.59</v>
      </c>
      <c r="K134" s="9">
        <v>35.1</v>
      </c>
      <c r="L134" s="9">
        <v>6708</v>
      </c>
      <c r="M134" s="9">
        <v>56581</v>
      </c>
      <c r="N134" s="9">
        <v>67.945808862787</v>
      </c>
      <c r="O134" s="9">
        <v>15.41</v>
      </c>
      <c r="P134" s="9">
        <v>70.1701</v>
      </c>
      <c r="Q134" s="9">
        <v>2.011732</v>
      </c>
      <c r="R134" s="33">
        <v>4.69843333333333</v>
      </c>
      <c r="S134" s="9">
        <v>1.84</v>
      </c>
      <c r="T134" s="9">
        <v>14335</v>
      </c>
      <c r="U134" s="30">
        <v>99.46</v>
      </c>
    </row>
    <row r="135" ht="15" spans="1:21">
      <c r="A135" s="14">
        <v>2014</v>
      </c>
      <c r="B135" s="14" t="s">
        <v>33</v>
      </c>
      <c r="C135" s="15">
        <v>31935</v>
      </c>
      <c r="D135" s="9">
        <v>10056.59</v>
      </c>
      <c r="E135" s="9">
        <v>62087.9120879121</v>
      </c>
      <c r="F135" s="9">
        <v>6.12</v>
      </c>
      <c r="G135" s="9">
        <v>2.698861936</v>
      </c>
      <c r="H135" s="9">
        <v>13.3250266740515</v>
      </c>
      <c r="I135" s="9">
        <v>17.1568</v>
      </c>
      <c r="J135" s="9">
        <v>885.46</v>
      </c>
      <c r="K135" s="9">
        <v>34.8</v>
      </c>
      <c r="L135" s="9">
        <v>6536</v>
      </c>
      <c r="M135" s="9">
        <v>63201</v>
      </c>
      <c r="N135" s="9">
        <v>66.4656360018368</v>
      </c>
      <c r="O135" s="9">
        <v>13.66</v>
      </c>
      <c r="P135" s="9">
        <v>72.9338</v>
      </c>
      <c r="Q135" s="9">
        <v>1.782816</v>
      </c>
      <c r="R135" s="33">
        <v>4.69843333333333</v>
      </c>
      <c r="S135" s="9">
        <v>1.84</v>
      </c>
      <c r="T135" s="9">
        <v>14335</v>
      </c>
      <c r="U135" s="30">
        <v>99.5884773662551</v>
      </c>
    </row>
    <row r="136" ht="15" spans="1:21">
      <c r="A136" s="14">
        <v>2015</v>
      </c>
      <c r="B136" s="14" t="s">
        <v>33</v>
      </c>
      <c r="C136" s="15">
        <v>44852</v>
      </c>
      <c r="D136" s="9">
        <v>10801.16</v>
      </c>
      <c r="E136" s="9">
        <v>64089.4796178722</v>
      </c>
      <c r="F136" s="9">
        <v>4.34</v>
      </c>
      <c r="G136" s="9">
        <v>2.698861936</v>
      </c>
      <c r="H136" s="9">
        <v>13.595060160205</v>
      </c>
      <c r="I136" s="9">
        <v>21.6964</v>
      </c>
      <c r="J136" s="9">
        <v>918.65</v>
      </c>
      <c r="K136" s="9">
        <v>34.1</v>
      </c>
      <c r="L136" s="9">
        <v>6584</v>
      </c>
      <c r="M136" s="9">
        <v>69123</v>
      </c>
      <c r="N136" s="9">
        <v>65.1959612856972</v>
      </c>
      <c r="O136" s="9">
        <v>15.55</v>
      </c>
      <c r="P136" s="9">
        <v>75.5767</v>
      </c>
      <c r="Q136" s="9">
        <v>1.192385</v>
      </c>
      <c r="R136" s="33">
        <v>4.69843333333333</v>
      </c>
      <c r="S136" s="9">
        <v>1.84</v>
      </c>
      <c r="T136" s="9">
        <v>14335</v>
      </c>
      <c r="U136" s="30">
        <v>97.8403642370766</v>
      </c>
    </row>
    <row r="137" ht="15" spans="1:21">
      <c r="A137" s="14">
        <v>2016</v>
      </c>
      <c r="B137" s="14" t="s">
        <v>33</v>
      </c>
      <c r="C137" s="15">
        <v>41309</v>
      </c>
      <c r="D137" s="9">
        <v>12170.23</v>
      </c>
      <c r="E137" s="9">
        <v>65493.4883220321</v>
      </c>
      <c r="F137" s="9">
        <v>4.7</v>
      </c>
      <c r="G137" s="9">
        <v>2.698861936</v>
      </c>
      <c r="H137" s="9">
        <v>13.1131038608145</v>
      </c>
      <c r="I137" s="9">
        <v>15.2775</v>
      </c>
      <c r="J137" s="9">
        <v>1006.15</v>
      </c>
      <c r="K137" s="9">
        <v>34.2</v>
      </c>
      <c r="L137" s="9">
        <v>7377</v>
      </c>
      <c r="M137" s="9">
        <v>74408</v>
      </c>
      <c r="N137" s="9">
        <v>65.493844354075</v>
      </c>
      <c r="O137" s="9">
        <v>14.26</v>
      </c>
      <c r="P137" s="9">
        <v>79.1593</v>
      </c>
      <c r="Q137" s="9">
        <v>1.122927</v>
      </c>
      <c r="R137" s="33">
        <v>4.69843333333333</v>
      </c>
      <c r="S137" s="9">
        <v>1.84</v>
      </c>
      <c r="T137" s="9">
        <v>14335</v>
      </c>
      <c r="U137" s="30">
        <v>92.5869385787432</v>
      </c>
    </row>
    <row r="138" ht="15" spans="1:21">
      <c r="A138" s="14">
        <v>2017</v>
      </c>
      <c r="B138" s="14" t="s">
        <v>33</v>
      </c>
      <c r="C138" s="15">
        <v>41088</v>
      </c>
      <c r="D138" s="9">
        <v>13889.39</v>
      </c>
      <c r="E138" s="9">
        <v>72383.781530123</v>
      </c>
      <c r="F138" s="9">
        <v>4.89</v>
      </c>
      <c r="G138" s="9">
        <v>3.031664428</v>
      </c>
      <c r="H138" s="9">
        <v>12.6475107978104</v>
      </c>
      <c r="I138" s="9">
        <v>35.4626</v>
      </c>
      <c r="J138" s="9">
        <v>1037.09</v>
      </c>
      <c r="K138" s="9">
        <v>33.7</v>
      </c>
      <c r="L138" s="9">
        <v>8595</v>
      </c>
      <c r="M138" s="9">
        <v>79292</v>
      </c>
      <c r="N138" s="9">
        <v>65.0455573256591</v>
      </c>
      <c r="O138" s="9">
        <v>14.26</v>
      </c>
      <c r="P138" s="9">
        <v>81.7432</v>
      </c>
      <c r="Q138" s="9">
        <v>1.197227</v>
      </c>
      <c r="R138" s="33">
        <v>4.69843333333333</v>
      </c>
      <c r="S138" s="9">
        <v>1.84</v>
      </c>
      <c r="T138" s="9">
        <v>14335</v>
      </c>
      <c r="U138" s="30">
        <v>98.4748365480816</v>
      </c>
    </row>
    <row r="139" ht="15" spans="1:21">
      <c r="A139" s="14">
        <v>2018</v>
      </c>
      <c r="B139" s="14" t="s">
        <v>33</v>
      </c>
      <c r="C139" s="15">
        <v>57370</v>
      </c>
      <c r="D139" s="9">
        <v>15342.77</v>
      </c>
      <c r="E139" s="9">
        <v>77439.0551658002</v>
      </c>
      <c r="F139" s="9">
        <v>5.29</v>
      </c>
      <c r="G139" s="9">
        <v>3.993607789</v>
      </c>
      <c r="H139" s="9">
        <v>11.9758283543324</v>
      </c>
      <c r="I139" s="9">
        <v>36.1017</v>
      </c>
      <c r="J139" s="9">
        <v>1072.31</v>
      </c>
      <c r="K139" s="9">
        <v>33</v>
      </c>
      <c r="L139" s="9">
        <v>9783.16</v>
      </c>
      <c r="M139" s="9">
        <v>88011</v>
      </c>
      <c r="N139" s="9">
        <v>64.8311099506267</v>
      </c>
      <c r="O139" s="9">
        <v>14.47</v>
      </c>
      <c r="P139" s="9">
        <v>84.0297</v>
      </c>
      <c r="Q139" s="9">
        <v>0.940642</v>
      </c>
      <c r="R139" s="33">
        <v>4.69843333333333</v>
      </c>
      <c r="S139" s="9">
        <v>1.84</v>
      </c>
      <c r="T139" s="9">
        <v>14335</v>
      </c>
      <c r="U139" s="30">
        <v>98.5048645226987</v>
      </c>
    </row>
    <row r="140" ht="15" spans="1:21">
      <c r="A140" s="14">
        <v>2019</v>
      </c>
      <c r="B140" s="14" t="s">
        <v>33</v>
      </c>
      <c r="C140" s="15">
        <v>50775</v>
      </c>
      <c r="D140" s="9">
        <v>17013</v>
      </c>
      <c r="E140" s="9">
        <v>83349.0126904797</v>
      </c>
      <c r="F140" s="9">
        <v>5.34</v>
      </c>
      <c r="G140" s="9">
        <v>5.270392232</v>
      </c>
      <c r="H140" s="9">
        <v>11.796563216364</v>
      </c>
      <c r="I140" s="9">
        <v>20.8527</v>
      </c>
      <c r="J140" s="9">
        <v>1107.93</v>
      </c>
      <c r="K140" s="9">
        <v>32.6</v>
      </c>
      <c r="L140" s="9">
        <v>11729</v>
      </c>
      <c r="M140" s="9">
        <v>97519</v>
      </c>
      <c r="N140" s="9">
        <v>64.780853568159</v>
      </c>
      <c r="O140" s="9">
        <v>14.37</v>
      </c>
      <c r="P140" s="9">
        <v>87.9335</v>
      </c>
      <c r="Q140" s="9">
        <v>0.842727</v>
      </c>
      <c r="R140" s="33">
        <v>4.69843333333333</v>
      </c>
      <c r="S140" s="9">
        <v>2.2</v>
      </c>
      <c r="T140" s="9">
        <v>14335</v>
      </c>
      <c r="U140" s="30">
        <v>94.6157116085809</v>
      </c>
    </row>
    <row r="141" ht="15" spans="1:21">
      <c r="A141" s="14">
        <v>2020</v>
      </c>
      <c r="B141" s="14" t="s">
        <v>33</v>
      </c>
      <c r="C141" s="15">
        <v>65453</v>
      </c>
      <c r="D141" s="9">
        <v>17717</v>
      </c>
      <c r="E141" s="9">
        <v>85157.7791569199</v>
      </c>
      <c r="F141" s="9">
        <v>2.84</v>
      </c>
      <c r="G141" s="9">
        <v>5.077540784</v>
      </c>
      <c r="H141" s="9">
        <v>12.1887255178642</v>
      </c>
      <c r="I141" s="9">
        <v>13.0078</v>
      </c>
      <c r="J141" s="9">
        <v>1143.32</v>
      </c>
      <c r="K141" s="9">
        <v>34.1</v>
      </c>
      <c r="L141" s="9">
        <v>13231</v>
      </c>
      <c r="M141" s="9">
        <v>104463</v>
      </c>
      <c r="N141" s="9">
        <v>59.136151297512</v>
      </c>
      <c r="O141" s="9">
        <v>15.18</v>
      </c>
      <c r="P141" s="9">
        <v>92.7111</v>
      </c>
      <c r="Q141" s="9">
        <v>0.853969</v>
      </c>
      <c r="R141" s="33">
        <v>4.69843333333333</v>
      </c>
      <c r="S141" s="9">
        <v>1.2</v>
      </c>
      <c r="T141" s="9">
        <v>14335</v>
      </c>
      <c r="U141" s="30">
        <v>93.965909090909</v>
      </c>
    </row>
    <row r="142" ht="15" spans="1:21">
      <c r="A142" s="14">
        <v>2021</v>
      </c>
      <c r="B142" s="14" t="s">
        <v>33</v>
      </c>
      <c r="C142" s="15">
        <v>88414</v>
      </c>
      <c r="D142" s="9">
        <v>19916.98</v>
      </c>
      <c r="E142" s="9">
        <v>94622</v>
      </c>
      <c r="F142" s="9">
        <v>2.53</v>
      </c>
      <c r="G142" s="9">
        <v>8.368618277</v>
      </c>
      <c r="H142" s="9">
        <v>11.2350727871394</v>
      </c>
      <c r="I142" s="9">
        <v>28.3832</v>
      </c>
      <c r="J142" s="9">
        <v>1156.12</v>
      </c>
      <c r="K142" s="9">
        <v>33.7</v>
      </c>
      <c r="L142" s="9">
        <v>14713</v>
      </c>
      <c r="M142" s="9">
        <v>113853</v>
      </c>
      <c r="N142" s="9">
        <v>60.0021849410066</v>
      </c>
      <c r="O142" s="9">
        <v>15.84</v>
      </c>
      <c r="P142" s="9">
        <v>98.1464</v>
      </c>
      <c r="Q142" s="9">
        <v>0.799499</v>
      </c>
      <c r="R142" s="37">
        <v>3.7652</v>
      </c>
      <c r="S142" s="9">
        <v>1.8</v>
      </c>
      <c r="T142" s="9">
        <v>14335</v>
      </c>
      <c r="U142" s="30">
        <v>103.282302566387</v>
      </c>
    </row>
    <row r="143" ht="15" spans="1:21">
      <c r="A143" s="14">
        <v>2022</v>
      </c>
      <c r="B143" s="14" t="s">
        <v>33</v>
      </c>
      <c r="C143" s="15">
        <v>83616</v>
      </c>
      <c r="D143" s="9">
        <v>20817.5</v>
      </c>
      <c r="E143" s="9">
        <v>98149</v>
      </c>
      <c r="F143" s="9">
        <v>2.53</v>
      </c>
      <c r="G143" s="9">
        <v>6.236263921</v>
      </c>
      <c r="H143" s="9">
        <v>11.6969415155518</v>
      </c>
      <c r="I143" s="9">
        <v>20.0225</v>
      </c>
      <c r="J143" s="9">
        <v>1159.14</v>
      </c>
      <c r="K143" s="9">
        <v>33.7</v>
      </c>
      <c r="L143" s="9">
        <v>16811</v>
      </c>
      <c r="M143" s="9">
        <v>120012</v>
      </c>
      <c r="N143" s="9">
        <v>58.6031659289214</v>
      </c>
      <c r="O143" s="9">
        <v>16.44</v>
      </c>
      <c r="P143" s="9">
        <v>110.6037</v>
      </c>
      <c r="Q143" s="9">
        <v>0.528023</v>
      </c>
      <c r="R143" s="37">
        <v>4.9404</v>
      </c>
      <c r="S143" s="9">
        <v>2</v>
      </c>
      <c r="T143" s="9">
        <v>14335</v>
      </c>
      <c r="U143" s="30">
        <v>99.3748056678362</v>
      </c>
    </row>
    <row r="144" s="4" customFormat="1" ht="15" spans="1:21">
      <c r="A144" s="16">
        <v>2023</v>
      </c>
      <c r="B144" s="16" t="s">
        <v>33</v>
      </c>
      <c r="C144" s="17">
        <v>70502</v>
      </c>
      <c r="D144" s="4">
        <v>22075</v>
      </c>
      <c r="E144" s="4">
        <v>103465</v>
      </c>
      <c r="F144" s="4">
        <v>2.53</v>
      </c>
      <c r="G144" s="4">
        <v>5.834314261</v>
      </c>
      <c r="H144" s="4">
        <v>11.7184009060023</v>
      </c>
      <c r="I144" s="4">
        <v>18.8657</v>
      </c>
      <c r="J144" s="4">
        <v>1167.85</v>
      </c>
      <c r="K144" s="4">
        <v>32.8</v>
      </c>
      <c r="L144" s="4">
        <v>19517</v>
      </c>
      <c r="M144" s="4">
        <v>127093</v>
      </c>
      <c r="N144" s="4">
        <v>60.1144223568879</v>
      </c>
      <c r="O144" s="4">
        <v>16.77</v>
      </c>
      <c r="P144" s="4">
        <v>114.0856</v>
      </c>
      <c r="Q144" s="4">
        <v>0.499268</v>
      </c>
      <c r="R144" s="38">
        <v>5.3897</v>
      </c>
      <c r="S144" s="4">
        <v>2</v>
      </c>
      <c r="T144" s="4">
        <v>14335</v>
      </c>
      <c r="U144" s="31">
        <v>99.4767395626243</v>
      </c>
    </row>
    <row r="145" spans="3:17">
      <c r="C145" s="15"/>
      <c r="D145" s="9"/>
      <c r="E145" s="9"/>
      <c r="F145" s="9"/>
      <c r="P145" s="9"/>
      <c r="Q145" s="9"/>
    </row>
    <row r="146" spans="3:17">
      <c r="C146" s="15"/>
      <c r="D146" s="9"/>
      <c r="E146" s="9"/>
      <c r="F146" s="9"/>
      <c r="P146" s="9"/>
      <c r="Q146" s="9"/>
    </row>
    <row r="147" spans="3:17">
      <c r="C147" s="15"/>
      <c r="D147" s="9"/>
      <c r="E147" s="9"/>
      <c r="F147" s="9"/>
      <c r="P147" s="9"/>
      <c r="Q147" s="9"/>
    </row>
    <row r="148" spans="3:17">
      <c r="C148" s="15"/>
      <c r="D148" s="9"/>
      <c r="E148" s="9"/>
      <c r="F148" s="9"/>
      <c r="P148" s="9"/>
      <c r="Q148" s="9"/>
    </row>
    <row r="149" spans="3:17">
      <c r="C149" s="15"/>
      <c r="D149" s="9"/>
      <c r="E149" s="9"/>
      <c r="F149" s="9"/>
      <c r="P149" s="9"/>
      <c r="Q149" s="9"/>
    </row>
    <row r="150" spans="3:17">
      <c r="C150" s="15"/>
      <c r="D150" s="9"/>
      <c r="E150" s="9"/>
      <c r="F150" s="9"/>
      <c r="P150" s="9"/>
      <c r="Q150" s="9"/>
    </row>
    <row r="151" spans="3:17">
      <c r="C151" s="15"/>
      <c r="D151" s="9"/>
      <c r="E151" s="9"/>
      <c r="F151" s="9"/>
      <c r="P151" s="9"/>
      <c r="Q151" s="9"/>
    </row>
    <row r="152" spans="3:17">
      <c r="C152" s="15"/>
      <c r="D152" s="9"/>
      <c r="E152" s="9"/>
      <c r="F152" s="9"/>
      <c r="P152" s="9"/>
      <c r="Q152" s="9"/>
    </row>
    <row r="153" spans="3:17">
      <c r="C153" s="15"/>
      <c r="D153" s="9"/>
      <c r="E153" s="9"/>
      <c r="F153" s="9"/>
      <c r="P153" s="9"/>
      <c r="Q153" s="9"/>
    </row>
    <row r="154" spans="3:17">
      <c r="C154" s="15"/>
      <c r="D154" s="9"/>
      <c r="E154" s="9"/>
      <c r="F154" s="9"/>
      <c r="P154" s="9"/>
      <c r="Q154" s="9"/>
    </row>
    <row r="155" spans="3:17">
      <c r="C155" s="15"/>
      <c r="D155" s="9"/>
      <c r="E155" s="9"/>
      <c r="F155" s="9"/>
      <c r="P155" s="9"/>
      <c r="Q155" s="9"/>
    </row>
    <row r="156" spans="3:17">
      <c r="C156" s="15"/>
      <c r="D156" s="9"/>
      <c r="E156" s="9"/>
      <c r="F156" s="9"/>
      <c r="P156" s="9"/>
      <c r="Q156" s="9"/>
    </row>
    <row r="157" spans="3:17">
      <c r="C157" s="15"/>
      <c r="D157" s="9"/>
      <c r="E157" s="9"/>
      <c r="F157" s="9"/>
      <c r="P157" s="9"/>
      <c r="Q157" s="9"/>
    </row>
    <row r="158" spans="3:17">
      <c r="C158" s="15"/>
      <c r="D158" s="9"/>
      <c r="E158" s="9"/>
      <c r="F158" s="9"/>
      <c r="P158" s="9"/>
      <c r="Q158" s="9"/>
    </row>
    <row r="159" spans="3:17">
      <c r="C159" s="15"/>
      <c r="D159" s="9"/>
      <c r="E159" s="9"/>
      <c r="F159" s="9"/>
      <c r="P159" s="9"/>
      <c r="Q159" s="9"/>
    </row>
    <row r="160" spans="4:20">
      <c r="D160" s="35"/>
      <c r="E160" s="35"/>
      <c r="G160" s="10"/>
      <c r="H160" s="10"/>
      <c r="I160" s="10"/>
      <c r="J160" s="10"/>
      <c r="K160" s="10"/>
      <c r="L160" s="10"/>
      <c r="M160" s="10"/>
      <c r="N160" s="10"/>
      <c r="O160" s="10"/>
      <c r="P160" s="30"/>
      <c r="R160" s="30"/>
      <c r="S160" s="10"/>
      <c r="T160" s="10"/>
    </row>
    <row r="161" spans="4:20">
      <c r="D161" s="35"/>
      <c r="E161" s="35"/>
      <c r="G161" s="10"/>
      <c r="H161" s="10"/>
      <c r="I161" s="10"/>
      <c r="J161" s="10"/>
      <c r="K161" s="10"/>
      <c r="L161" s="10"/>
      <c r="M161" s="10"/>
      <c r="N161" s="10"/>
      <c r="O161" s="10"/>
      <c r="P161" s="30"/>
      <c r="R161" s="30"/>
      <c r="S161" s="10"/>
      <c r="T161" s="10"/>
    </row>
    <row r="162" spans="4:20">
      <c r="D162" s="35"/>
      <c r="E162" s="35"/>
      <c r="G162" s="10"/>
      <c r="H162" s="10"/>
      <c r="I162" s="10"/>
      <c r="J162" s="10"/>
      <c r="K162" s="10"/>
      <c r="L162" s="10"/>
      <c r="M162" s="10"/>
      <c r="N162" s="10"/>
      <c r="O162" s="10"/>
      <c r="P162" s="30"/>
      <c r="R162" s="30"/>
      <c r="S162" s="10"/>
      <c r="T162" s="10"/>
    </row>
    <row r="163" spans="4:20">
      <c r="D163" s="35"/>
      <c r="E163" s="35"/>
      <c r="G163" s="10"/>
      <c r="H163" s="10"/>
      <c r="I163" s="10"/>
      <c r="J163" s="10"/>
      <c r="K163" s="10"/>
      <c r="L163" s="10"/>
      <c r="M163" s="10"/>
      <c r="N163" s="10"/>
      <c r="O163" s="10"/>
      <c r="P163" s="30"/>
      <c r="R163" s="30"/>
      <c r="S163" s="10"/>
      <c r="T163" s="10"/>
    </row>
    <row r="164" spans="4:20">
      <c r="D164" s="35"/>
      <c r="E164" s="35"/>
      <c r="G164" s="10"/>
      <c r="H164" s="10"/>
      <c r="I164" s="10"/>
      <c r="J164" s="10"/>
      <c r="K164" s="10"/>
      <c r="L164" s="10"/>
      <c r="M164" s="10"/>
      <c r="N164" s="10"/>
      <c r="O164" s="10"/>
      <c r="P164" s="30"/>
      <c r="R164" s="30"/>
      <c r="S164" s="10"/>
      <c r="T164" s="10"/>
    </row>
    <row r="165" spans="4:20">
      <c r="D165" s="35"/>
      <c r="E165" s="35"/>
      <c r="G165" s="10"/>
      <c r="H165" s="10"/>
      <c r="I165" s="10"/>
      <c r="J165" s="10"/>
      <c r="K165" s="10"/>
      <c r="L165" s="10"/>
      <c r="M165" s="10"/>
      <c r="N165" s="10"/>
      <c r="O165" s="10"/>
      <c r="P165" s="30"/>
      <c r="R165" s="30"/>
      <c r="S165" s="10"/>
      <c r="T165" s="10"/>
    </row>
    <row r="166" spans="4:20">
      <c r="D166" s="35"/>
      <c r="E166" s="35"/>
      <c r="G166" s="10"/>
      <c r="H166" s="10"/>
      <c r="I166" s="10"/>
      <c r="J166" s="10"/>
      <c r="K166" s="10"/>
      <c r="L166" s="10"/>
      <c r="M166" s="10"/>
      <c r="N166" s="10"/>
      <c r="O166" s="10"/>
      <c r="P166" s="30"/>
      <c r="R166" s="30"/>
      <c r="S166" s="10"/>
      <c r="T166" s="10"/>
    </row>
    <row r="167" spans="4:20">
      <c r="D167" s="35"/>
      <c r="E167" s="35"/>
      <c r="G167" s="10"/>
      <c r="H167" s="10"/>
      <c r="I167" s="10"/>
      <c r="J167" s="10"/>
      <c r="K167" s="10"/>
      <c r="L167" s="10"/>
      <c r="M167" s="10"/>
      <c r="N167" s="10"/>
      <c r="O167" s="10"/>
      <c r="P167" s="30"/>
      <c r="R167" s="30"/>
      <c r="S167" s="10"/>
      <c r="T167" s="10"/>
    </row>
    <row r="168" spans="4:20">
      <c r="D168" s="35"/>
      <c r="E168" s="35"/>
      <c r="G168" s="10"/>
      <c r="H168" s="10"/>
      <c r="I168" s="10"/>
      <c r="J168" s="10"/>
      <c r="K168" s="10"/>
      <c r="L168" s="10"/>
      <c r="M168" s="10"/>
      <c r="N168" s="10"/>
      <c r="O168" s="10"/>
      <c r="P168" s="30"/>
      <c r="R168" s="30"/>
      <c r="S168" s="10"/>
      <c r="T168" s="10"/>
    </row>
    <row r="169" spans="4:20">
      <c r="D169" s="35"/>
      <c r="E169" s="35"/>
      <c r="G169" s="10"/>
      <c r="H169" s="10"/>
      <c r="I169" s="10"/>
      <c r="J169" s="10"/>
      <c r="K169" s="10"/>
      <c r="L169" s="10"/>
      <c r="M169" s="10"/>
      <c r="N169" s="10"/>
      <c r="O169" s="10"/>
      <c r="P169" s="30"/>
      <c r="R169" s="30"/>
      <c r="S169" s="10"/>
      <c r="T169" s="10"/>
    </row>
    <row r="170" spans="4:20">
      <c r="D170" s="35"/>
      <c r="E170" s="35"/>
      <c r="G170" s="10"/>
      <c r="H170" s="10"/>
      <c r="I170" s="10"/>
      <c r="J170" s="10"/>
      <c r="K170" s="10"/>
      <c r="L170" s="10"/>
      <c r="M170" s="10"/>
      <c r="N170" s="10"/>
      <c r="O170" s="10"/>
      <c r="P170" s="30"/>
      <c r="R170" s="30"/>
      <c r="S170" s="10"/>
      <c r="T170" s="10"/>
    </row>
    <row r="171" spans="4:20">
      <c r="D171" s="35"/>
      <c r="E171" s="35"/>
      <c r="G171" s="10"/>
      <c r="H171" s="10"/>
      <c r="I171" s="10"/>
      <c r="J171" s="10"/>
      <c r="K171" s="10"/>
      <c r="L171" s="10"/>
      <c r="M171" s="10"/>
      <c r="N171" s="10"/>
      <c r="O171" s="10"/>
      <c r="P171" s="30"/>
      <c r="R171" s="30"/>
      <c r="S171" s="10"/>
      <c r="T171" s="10"/>
    </row>
    <row r="172" spans="4:20">
      <c r="D172" s="35"/>
      <c r="E172" s="35"/>
      <c r="G172" s="10"/>
      <c r="H172" s="10"/>
      <c r="I172" s="10"/>
      <c r="J172" s="10"/>
      <c r="K172" s="10"/>
      <c r="L172" s="10"/>
      <c r="M172" s="10"/>
      <c r="N172" s="10"/>
      <c r="O172" s="10"/>
      <c r="P172" s="30"/>
      <c r="R172" s="30"/>
      <c r="S172" s="10"/>
      <c r="T172" s="10"/>
    </row>
    <row r="173" spans="4:20">
      <c r="D173" s="35"/>
      <c r="E173" s="35"/>
      <c r="G173" s="10"/>
      <c r="H173" s="10"/>
      <c r="I173" s="10"/>
      <c r="J173" s="10"/>
      <c r="K173" s="10"/>
      <c r="L173" s="10"/>
      <c r="M173" s="10"/>
      <c r="N173" s="10"/>
      <c r="O173" s="10"/>
      <c r="P173" s="30"/>
      <c r="R173" s="30"/>
      <c r="S173" s="10"/>
      <c r="T173" s="10"/>
    </row>
    <row r="174" spans="4:20">
      <c r="D174" s="35"/>
      <c r="E174" s="35"/>
      <c r="G174" s="10"/>
      <c r="H174" s="10"/>
      <c r="I174" s="10"/>
      <c r="J174" s="10"/>
      <c r="K174" s="10"/>
      <c r="L174" s="10"/>
      <c r="M174" s="10"/>
      <c r="N174" s="10"/>
      <c r="O174" s="10"/>
      <c r="P174" s="30"/>
      <c r="R174" s="30"/>
      <c r="S174" s="10"/>
      <c r="T174" s="10"/>
    </row>
    <row r="175" spans="4:20">
      <c r="D175" s="35"/>
      <c r="E175" s="35"/>
      <c r="G175" s="10"/>
      <c r="H175" s="10"/>
      <c r="I175" s="10"/>
      <c r="J175" s="10"/>
      <c r="K175" s="10"/>
      <c r="L175" s="10"/>
      <c r="M175" s="10"/>
      <c r="N175" s="10"/>
      <c r="O175" s="10"/>
      <c r="P175" s="30"/>
      <c r="R175" s="30"/>
      <c r="S175" s="10"/>
      <c r="T175" s="10"/>
    </row>
    <row r="176" spans="4:20">
      <c r="D176" s="35"/>
      <c r="E176" s="35"/>
      <c r="G176" s="10"/>
      <c r="H176" s="10"/>
      <c r="I176" s="10"/>
      <c r="J176" s="10"/>
      <c r="K176" s="10"/>
      <c r="L176" s="10"/>
      <c r="M176" s="10"/>
      <c r="N176" s="10"/>
      <c r="O176" s="10"/>
      <c r="P176" s="30"/>
      <c r="R176" s="30"/>
      <c r="S176" s="10"/>
      <c r="T176" s="10"/>
    </row>
    <row r="177" spans="4:20">
      <c r="D177" s="35"/>
      <c r="E177" s="35"/>
      <c r="G177" s="10"/>
      <c r="H177" s="10"/>
      <c r="I177" s="10"/>
      <c r="J177" s="10"/>
      <c r="K177" s="10"/>
      <c r="L177" s="10"/>
      <c r="M177" s="10"/>
      <c r="N177" s="10"/>
      <c r="O177" s="10"/>
      <c r="P177" s="30"/>
      <c r="R177" s="10"/>
      <c r="S177" s="10"/>
      <c r="T177" s="10"/>
    </row>
    <row r="178" spans="4:20">
      <c r="D178" s="35"/>
      <c r="E178" s="35"/>
      <c r="G178" s="10"/>
      <c r="H178" s="10"/>
      <c r="I178" s="10"/>
      <c r="J178" s="10"/>
      <c r="K178" s="10"/>
      <c r="L178" s="10"/>
      <c r="M178" s="10"/>
      <c r="N178" s="10"/>
      <c r="O178" s="10"/>
      <c r="P178" s="30"/>
      <c r="R178" s="10"/>
      <c r="S178" s="10"/>
      <c r="T178" s="10"/>
    </row>
    <row r="179" spans="4:20">
      <c r="D179" s="35"/>
      <c r="E179" s="35"/>
      <c r="G179" s="10"/>
      <c r="H179" s="10"/>
      <c r="I179" s="10"/>
      <c r="J179" s="10"/>
      <c r="K179" s="10"/>
      <c r="L179" s="10"/>
      <c r="M179" s="10"/>
      <c r="N179" s="10"/>
      <c r="O179" s="10"/>
      <c r="R179" s="10"/>
      <c r="S179" s="10"/>
      <c r="T179" s="10"/>
    </row>
    <row r="180" spans="4:20">
      <c r="D180" s="35"/>
      <c r="E180" s="35"/>
      <c r="G180" s="10"/>
      <c r="H180" s="10"/>
      <c r="I180" s="10"/>
      <c r="J180" s="10"/>
      <c r="K180" s="10"/>
      <c r="L180" s="10"/>
      <c r="M180" s="10"/>
      <c r="N180" s="10"/>
      <c r="O180" s="10"/>
      <c r="R180" s="10"/>
      <c r="S180" s="10"/>
      <c r="T180" s="10"/>
    </row>
    <row r="181" spans="4:20">
      <c r="D181" s="35"/>
      <c r="E181" s="35"/>
      <c r="G181" s="10"/>
      <c r="H181" s="10"/>
      <c r="I181" s="10"/>
      <c r="J181" s="10"/>
      <c r="K181" s="10"/>
      <c r="L181" s="10"/>
      <c r="M181" s="10"/>
      <c r="N181" s="10"/>
      <c r="O181" s="10"/>
      <c r="R181" s="10"/>
      <c r="S181" s="10"/>
      <c r="T181" s="10"/>
    </row>
    <row r="182" spans="4:20">
      <c r="D182" s="35"/>
      <c r="E182" s="35"/>
      <c r="G182" s="10"/>
      <c r="H182" s="10"/>
      <c r="I182" s="10"/>
      <c r="J182" s="10"/>
      <c r="K182" s="10"/>
      <c r="L182" s="10"/>
      <c r="M182" s="10"/>
      <c r="N182" s="10"/>
      <c r="O182" s="10"/>
      <c r="R182" s="10"/>
      <c r="S182" s="10"/>
      <c r="T182" s="10"/>
    </row>
    <row r="183" spans="4:20">
      <c r="D183" s="35"/>
      <c r="E183" s="35"/>
      <c r="G183" s="10"/>
      <c r="H183" s="10"/>
      <c r="I183" s="10"/>
      <c r="J183" s="10"/>
      <c r="K183" s="10"/>
      <c r="L183" s="10"/>
      <c r="M183" s="10"/>
      <c r="N183" s="10"/>
      <c r="O183" s="10"/>
      <c r="R183" s="10"/>
      <c r="S183" s="10"/>
      <c r="T183" s="10"/>
    </row>
    <row r="184" spans="4:20">
      <c r="D184" s="35"/>
      <c r="E184" s="35"/>
      <c r="G184" s="10"/>
      <c r="H184" s="10"/>
      <c r="I184" s="10"/>
      <c r="J184" s="10"/>
      <c r="K184" s="10"/>
      <c r="L184" s="10"/>
      <c r="M184" s="10"/>
      <c r="N184" s="10"/>
      <c r="O184" s="10"/>
      <c r="R184" s="10"/>
      <c r="S184" s="10"/>
      <c r="T184" s="10"/>
    </row>
    <row r="185" spans="4:20">
      <c r="D185" s="35"/>
      <c r="E185" s="35"/>
      <c r="G185" s="10"/>
      <c r="H185" s="10"/>
      <c r="I185" s="10"/>
      <c r="J185" s="10"/>
      <c r="K185" s="10"/>
      <c r="L185" s="10"/>
      <c r="M185" s="10"/>
      <c r="N185" s="10"/>
      <c r="O185" s="10"/>
      <c r="R185" s="10"/>
      <c r="S185" s="10"/>
      <c r="T185" s="10"/>
    </row>
    <row r="186" spans="4:20">
      <c r="D186" s="35"/>
      <c r="E186" s="35"/>
      <c r="G186" s="10"/>
      <c r="H186" s="10"/>
      <c r="I186" s="10"/>
      <c r="J186" s="10"/>
      <c r="K186" s="10"/>
      <c r="L186" s="10"/>
      <c r="M186" s="10"/>
      <c r="N186" s="10"/>
      <c r="O186" s="10"/>
      <c r="R186" s="10"/>
      <c r="S186" s="10"/>
      <c r="T186" s="10"/>
    </row>
    <row r="187" spans="4:20">
      <c r="D187" s="35"/>
      <c r="E187" s="35"/>
      <c r="G187" s="10"/>
      <c r="H187" s="10"/>
      <c r="I187" s="10"/>
      <c r="J187" s="10"/>
      <c r="K187" s="10"/>
      <c r="L187" s="10"/>
      <c r="M187" s="10"/>
      <c r="N187" s="10"/>
      <c r="O187" s="10"/>
      <c r="R187" s="10"/>
      <c r="S187" s="10"/>
      <c r="T187" s="10"/>
    </row>
    <row r="188" spans="4:20">
      <c r="D188" s="35"/>
      <c r="E188" s="35"/>
      <c r="G188" s="10"/>
      <c r="H188" s="10"/>
      <c r="I188" s="10"/>
      <c r="J188" s="10"/>
      <c r="K188" s="10"/>
      <c r="L188" s="10"/>
      <c r="M188" s="10"/>
      <c r="N188" s="10"/>
      <c r="O188" s="10"/>
      <c r="R188" s="10"/>
      <c r="S188" s="10"/>
      <c r="T188" s="10"/>
    </row>
    <row r="189" spans="4:20">
      <c r="D189" s="35"/>
      <c r="E189" s="35"/>
      <c r="G189" s="10"/>
      <c r="H189" s="10"/>
      <c r="I189" s="10"/>
      <c r="J189" s="10"/>
      <c r="K189" s="10"/>
      <c r="L189" s="10"/>
      <c r="M189" s="10"/>
      <c r="N189" s="10"/>
      <c r="O189" s="10"/>
      <c r="R189" s="10"/>
      <c r="S189" s="10"/>
      <c r="T189" s="10"/>
    </row>
    <row r="190" spans="4:20">
      <c r="D190" s="35"/>
      <c r="E190" s="35"/>
      <c r="G190" s="10"/>
      <c r="H190" s="10"/>
      <c r="I190" s="10"/>
      <c r="J190" s="10"/>
      <c r="K190" s="10"/>
      <c r="L190" s="10"/>
      <c r="M190" s="10"/>
      <c r="N190" s="10"/>
      <c r="O190" s="10"/>
      <c r="R190" s="10"/>
      <c r="S190" s="10"/>
      <c r="T190" s="10"/>
    </row>
    <row r="191" spans="4:20">
      <c r="D191" s="35"/>
      <c r="E191" s="35"/>
      <c r="G191" s="10"/>
      <c r="H191" s="10"/>
      <c r="I191" s="10"/>
      <c r="J191" s="10"/>
      <c r="K191" s="10"/>
      <c r="L191" s="10"/>
      <c r="M191" s="10"/>
      <c r="N191" s="10"/>
      <c r="O191" s="10"/>
      <c r="R191" s="10"/>
      <c r="S191" s="10"/>
      <c r="T191" s="10"/>
    </row>
    <row r="192" spans="4:20">
      <c r="D192" s="35"/>
      <c r="E192" s="35"/>
      <c r="G192" s="10"/>
      <c r="H192" s="10"/>
      <c r="I192" s="10"/>
      <c r="J192" s="10"/>
      <c r="K192" s="10"/>
      <c r="L192" s="10"/>
      <c r="M192" s="10"/>
      <c r="N192" s="10"/>
      <c r="O192" s="10"/>
      <c r="R192" s="10"/>
      <c r="S192" s="10"/>
      <c r="T192" s="10"/>
    </row>
    <row r="193" spans="4:20">
      <c r="D193" s="35"/>
      <c r="E193" s="35"/>
      <c r="G193" s="10"/>
      <c r="H193" s="10"/>
      <c r="I193" s="10"/>
      <c r="J193" s="10"/>
      <c r="K193" s="10"/>
      <c r="L193" s="10"/>
      <c r="M193" s="10"/>
      <c r="N193" s="10"/>
      <c r="O193" s="10"/>
      <c r="R193" s="10"/>
      <c r="S193" s="10"/>
      <c r="T193" s="10"/>
    </row>
    <row r="194" spans="4:20">
      <c r="D194" s="35"/>
      <c r="E194" s="35"/>
      <c r="G194" s="10"/>
      <c r="H194" s="10"/>
      <c r="I194" s="10"/>
      <c r="J194" s="10"/>
      <c r="K194" s="10"/>
      <c r="L194" s="10"/>
      <c r="M194" s="10"/>
      <c r="N194" s="10"/>
      <c r="O194" s="10"/>
      <c r="R194" s="10"/>
      <c r="S194" s="10"/>
      <c r="T194" s="10"/>
    </row>
    <row r="195" spans="4:20">
      <c r="D195" s="35"/>
      <c r="E195" s="35"/>
      <c r="G195" s="10"/>
      <c r="H195" s="10"/>
      <c r="I195" s="10"/>
      <c r="J195" s="10"/>
      <c r="K195" s="10"/>
      <c r="L195" s="10"/>
      <c r="M195" s="10"/>
      <c r="N195" s="10"/>
      <c r="O195" s="10"/>
      <c r="R195" s="10"/>
      <c r="S195" s="10"/>
      <c r="T195" s="10"/>
    </row>
    <row r="196" spans="4:20">
      <c r="D196" s="35"/>
      <c r="E196" s="35"/>
      <c r="G196" s="10"/>
      <c r="H196" s="10"/>
      <c r="I196" s="10"/>
      <c r="J196" s="10"/>
      <c r="K196" s="10"/>
      <c r="L196" s="10"/>
      <c r="M196" s="10"/>
      <c r="N196" s="10"/>
      <c r="O196" s="10"/>
      <c r="R196" s="10"/>
      <c r="S196" s="10"/>
      <c r="T196" s="10"/>
    </row>
    <row r="197" spans="4:20">
      <c r="D197" s="35"/>
      <c r="E197" s="35"/>
      <c r="G197" s="10"/>
      <c r="H197" s="10"/>
      <c r="I197" s="10"/>
      <c r="J197" s="10"/>
      <c r="K197" s="10"/>
      <c r="L197" s="10"/>
      <c r="M197" s="10"/>
      <c r="N197" s="10"/>
      <c r="O197" s="10"/>
      <c r="R197" s="10"/>
      <c r="S197" s="10"/>
      <c r="T197" s="10"/>
    </row>
    <row r="198" spans="4:20">
      <c r="D198" s="35"/>
      <c r="E198" s="35"/>
      <c r="G198" s="10"/>
      <c r="H198" s="10"/>
      <c r="I198" s="10"/>
      <c r="J198" s="10"/>
      <c r="K198" s="10"/>
      <c r="L198" s="10"/>
      <c r="M198" s="10"/>
      <c r="N198" s="10"/>
      <c r="O198" s="10"/>
      <c r="R198" s="10"/>
      <c r="S198" s="10"/>
      <c r="T198" s="10"/>
    </row>
    <row r="199" spans="4:20">
      <c r="D199" s="35"/>
      <c r="E199" s="35"/>
      <c r="G199" s="10"/>
      <c r="H199" s="10"/>
      <c r="I199" s="10"/>
      <c r="J199" s="10"/>
      <c r="K199" s="10"/>
      <c r="L199" s="10"/>
      <c r="M199" s="10"/>
      <c r="N199" s="10"/>
      <c r="O199" s="10"/>
      <c r="R199" s="10"/>
      <c r="S199" s="10"/>
      <c r="T199" s="10"/>
    </row>
    <row r="200" spans="4:20">
      <c r="D200" s="35"/>
      <c r="E200" s="35"/>
      <c r="G200" s="10"/>
      <c r="H200" s="10"/>
      <c r="I200" s="10"/>
      <c r="J200" s="10"/>
      <c r="K200" s="10"/>
      <c r="L200" s="10"/>
      <c r="M200" s="10"/>
      <c r="N200" s="10"/>
      <c r="O200" s="10"/>
      <c r="R200" s="10"/>
      <c r="S200" s="10"/>
      <c r="T200" s="10"/>
    </row>
    <row r="201" spans="4:20">
      <c r="D201" s="35"/>
      <c r="E201" s="35"/>
      <c r="G201" s="10"/>
      <c r="H201" s="10"/>
      <c r="I201" s="10"/>
      <c r="J201" s="10"/>
      <c r="K201" s="10"/>
      <c r="L201" s="10"/>
      <c r="M201" s="10"/>
      <c r="N201" s="10"/>
      <c r="O201" s="10"/>
      <c r="R201" s="10"/>
      <c r="S201" s="10"/>
      <c r="T201" s="10"/>
    </row>
    <row r="202" spans="4:20">
      <c r="D202" s="35"/>
      <c r="E202" s="35"/>
      <c r="G202" s="10"/>
      <c r="H202" s="10"/>
      <c r="I202" s="10"/>
      <c r="J202" s="10"/>
      <c r="K202" s="10"/>
      <c r="L202" s="10"/>
      <c r="M202" s="10"/>
      <c r="N202" s="10"/>
      <c r="O202" s="10"/>
      <c r="R202" s="10"/>
      <c r="S202" s="10"/>
      <c r="T202" s="10"/>
    </row>
    <row r="203" spans="4:20">
      <c r="D203" s="35"/>
      <c r="E203" s="35"/>
      <c r="G203" s="10"/>
      <c r="H203" s="10"/>
      <c r="I203" s="10"/>
      <c r="J203" s="10"/>
      <c r="K203" s="10"/>
      <c r="L203" s="10"/>
      <c r="M203" s="10"/>
      <c r="N203" s="10"/>
      <c r="O203" s="10"/>
      <c r="R203" s="10"/>
      <c r="S203" s="10"/>
      <c r="T203" s="10"/>
    </row>
    <row r="204" spans="4:20">
      <c r="D204" s="35"/>
      <c r="E204" s="35"/>
      <c r="G204" s="10"/>
      <c r="H204" s="10"/>
      <c r="I204" s="10"/>
      <c r="J204" s="10"/>
      <c r="K204" s="10"/>
      <c r="L204" s="10"/>
      <c r="M204" s="10"/>
      <c r="N204" s="10"/>
      <c r="O204" s="10"/>
      <c r="R204" s="10"/>
      <c r="S204" s="10"/>
      <c r="T204" s="10"/>
    </row>
    <row r="205" spans="4:20">
      <c r="D205" s="35"/>
      <c r="E205" s="35"/>
      <c r="G205" s="10"/>
      <c r="H205" s="10"/>
      <c r="I205" s="10"/>
      <c r="J205" s="10"/>
      <c r="K205" s="10"/>
      <c r="L205" s="10"/>
      <c r="M205" s="10"/>
      <c r="N205" s="10"/>
      <c r="O205" s="10"/>
      <c r="R205" s="10"/>
      <c r="S205" s="10"/>
      <c r="T205" s="10"/>
    </row>
    <row r="206" spans="4:20">
      <c r="D206" s="35"/>
      <c r="E206" s="35"/>
      <c r="G206" s="10"/>
      <c r="H206" s="10"/>
      <c r="I206" s="10"/>
      <c r="J206" s="10"/>
      <c r="K206" s="10"/>
      <c r="L206" s="10"/>
      <c r="M206" s="10"/>
      <c r="N206" s="10"/>
      <c r="O206" s="10"/>
      <c r="R206" s="10"/>
      <c r="S206" s="10"/>
      <c r="T206" s="10"/>
    </row>
    <row r="207" spans="4:20">
      <c r="D207" s="35"/>
      <c r="E207" s="35"/>
      <c r="G207" s="10"/>
      <c r="H207" s="10"/>
      <c r="I207" s="10"/>
      <c r="J207" s="10"/>
      <c r="K207" s="10"/>
      <c r="L207" s="10"/>
      <c r="M207" s="10"/>
      <c r="N207" s="10"/>
      <c r="O207" s="10"/>
      <c r="R207" s="10"/>
      <c r="S207" s="10"/>
      <c r="T207" s="10"/>
    </row>
    <row r="208" spans="4:20">
      <c r="D208" s="35"/>
      <c r="E208" s="35"/>
      <c r="G208" s="10"/>
      <c r="H208" s="10"/>
      <c r="I208" s="10"/>
      <c r="J208" s="10"/>
      <c r="K208" s="10"/>
      <c r="L208" s="10"/>
      <c r="M208" s="10"/>
      <c r="N208" s="10"/>
      <c r="O208" s="10"/>
      <c r="R208" s="10"/>
      <c r="S208" s="10"/>
      <c r="T208" s="10"/>
    </row>
    <row r="209" spans="4:20">
      <c r="D209" s="35"/>
      <c r="E209" s="35"/>
      <c r="G209" s="10"/>
      <c r="H209" s="10"/>
      <c r="I209" s="10"/>
      <c r="J209" s="10"/>
      <c r="K209" s="10"/>
      <c r="L209" s="10"/>
      <c r="M209" s="10"/>
      <c r="N209" s="10"/>
      <c r="O209" s="10"/>
      <c r="R209" s="10"/>
      <c r="S209" s="10"/>
      <c r="T209" s="10"/>
    </row>
    <row r="210" spans="4:20">
      <c r="D210" s="35"/>
      <c r="E210" s="35"/>
      <c r="G210" s="10"/>
      <c r="H210" s="10"/>
      <c r="I210" s="10"/>
      <c r="J210" s="10"/>
      <c r="K210" s="10"/>
      <c r="L210" s="10"/>
      <c r="M210" s="10"/>
      <c r="N210" s="10"/>
      <c r="O210" s="10"/>
      <c r="R210" s="10"/>
      <c r="S210" s="10"/>
      <c r="T210" s="10"/>
    </row>
    <row r="211" spans="4:20">
      <c r="D211" s="35"/>
      <c r="E211" s="35"/>
      <c r="G211" s="10"/>
      <c r="H211" s="10"/>
      <c r="I211" s="10"/>
      <c r="J211" s="10"/>
      <c r="K211" s="10"/>
      <c r="L211" s="10"/>
      <c r="M211" s="10"/>
      <c r="N211" s="10"/>
      <c r="O211" s="10"/>
      <c r="R211" s="10"/>
      <c r="S211" s="10"/>
      <c r="T211" s="10"/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workbookViewId="0">
      <selection activeCell="B6" sqref="B6"/>
    </sheetView>
  </sheetViews>
  <sheetFormatPr defaultColWidth="9" defaultRowHeight="14" outlineLevelCol="6"/>
  <cols>
    <col min="1" max="1" width="15.6" customWidth="1"/>
    <col min="2" max="2" width="38.4" customWidth="1"/>
    <col min="3" max="4" width="16" customWidth="1"/>
    <col min="5" max="5" width="51" customWidth="1"/>
    <col min="6" max="6" width="15.8636363636364" customWidth="1"/>
    <col min="7" max="7" width="62.2" customWidth="1"/>
  </cols>
  <sheetData>
    <row r="1" spans="1:7">
      <c r="A1" s="1" t="s">
        <v>34</v>
      </c>
      <c r="B1" s="1" t="s">
        <v>35</v>
      </c>
      <c r="C1" s="1"/>
      <c r="D1" s="1" t="s">
        <v>36</v>
      </c>
      <c r="E1" s="1" t="s">
        <v>37</v>
      </c>
      <c r="F1" s="1"/>
      <c r="G1" s="1"/>
    </row>
    <row r="2" spans="1:7">
      <c r="A2" s="1" t="s">
        <v>38</v>
      </c>
      <c r="B2" s="2" t="s">
        <v>39</v>
      </c>
      <c r="C2" s="2" t="s">
        <v>40</v>
      </c>
      <c r="D2" s="1" t="s">
        <v>41</v>
      </c>
      <c r="E2" s="2" t="s">
        <v>42</v>
      </c>
      <c r="F2" s="2"/>
      <c r="G2" s="1" t="s">
        <v>43</v>
      </c>
    </row>
    <row r="3" spans="1:7">
      <c r="A3" s="1" t="s">
        <v>44</v>
      </c>
      <c r="B3" s="2" t="s">
        <v>45</v>
      </c>
      <c r="C3" s="2" t="s">
        <v>46</v>
      </c>
      <c r="D3" s="1" t="s">
        <v>47</v>
      </c>
      <c r="E3" s="2" t="s">
        <v>47</v>
      </c>
      <c r="F3" s="1"/>
      <c r="G3" s="1" t="s">
        <v>48</v>
      </c>
    </row>
    <row r="4" spans="1:7">
      <c r="A4" s="1"/>
      <c r="B4" s="1" t="s">
        <v>49</v>
      </c>
      <c r="C4" s="2" t="s">
        <v>50</v>
      </c>
      <c r="D4" s="1" t="s">
        <v>51</v>
      </c>
      <c r="E4" s="2" t="s">
        <v>52</v>
      </c>
      <c r="F4" s="1"/>
      <c r="G4" s="1" t="s">
        <v>53</v>
      </c>
    </row>
    <row r="5" spans="1:7">
      <c r="A5" s="1"/>
      <c r="B5" s="1" t="s">
        <v>54</v>
      </c>
      <c r="C5" s="1"/>
      <c r="D5" s="1" t="s">
        <v>55</v>
      </c>
      <c r="E5" s="1"/>
      <c r="F5" s="1"/>
      <c r="G5" s="1" t="s">
        <v>56</v>
      </c>
    </row>
    <row r="6" spans="1:7">
      <c r="A6" s="1"/>
      <c r="B6" s="1" t="s">
        <v>57</v>
      </c>
      <c r="C6" s="2" t="s">
        <v>58</v>
      </c>
      <c r="D6" s="1" t="s">
        <v>59</v>
      </c>
      <c r="E6" s="1" t="s">
        <v>60</v>
      </c>
      <c r="F6" s="1"/>
      <c r="G6" s="1" t="s">
        <v>61</v>
      </c>
    </row>
    <row r="7" spans="1:7">
      <c r="A7" s="1"/>
      <c r="B7" s="1" t="s">
        <v>62</v>
      </c>
      <c r="C7" s="2" t="s">
        <v>58</v>
      </c>
      <c r="D7" s="1" t="s">
        <v>63</v>
      </c>
      <c r="E7" s="1" t="s">
        <v>64</v>
      </c>
      <c r="F7" s="1"/>
      <c r="G7" s="1"/>
    </row>
    <row r="8" spans="1:7">
      <c r="A8" s="1"/>
      <c r="B8" s="1" t="s">
        <v>65</v>
      </c>
      <c r="C8" s="2" t="s">
        <v>58</v>
      </c>
      <c r="D8" s="1" t="s">
        <v>66</v>
      </c>
      <c r="E8" s="2" t="s">
        <v>67</v>
      </c>
      <c r="F8" s="1"/>
      <c r="G8" s="1"/>
    </row>
    <row r="9" spans="1:7">
      <c r="A9" s="1"/>
      <c r="B9" s="1" t="s">
        <v>68</v>
      </c>
      <c r="C9" s="2" t="s">
        <v>69</v>
      </c>
      <c r="D9" s="1" t="s">
        <v>70</v>
      </c>
      <c r="E9" s="2" t="s">
        <v>71</v>
      </c>
      <c r="F9" s="1"/>
      <c r="G9" s="1" t="s">
        <v>72</v>
      </c>
    </row>
    <row r="10" spans="1:7">
      <c r="A10" s="1"/>
      <c r="B10" s="1" t="s">
        <v>9</v>
      </c>
      <c r="C10" s="2" t="s">
        <v>69</v>
      </c>
      <c r="D10" s="1" t="s">
        <v>73</v>
      </c>
      <c r="E10" s="2" t="s">
        <v>74</v>
      </c>
      <c r="F10" s="1"/>
      <c r="G10" s="1" t="s">
        <v>75</v>
      </c>
    </row>
    <row r="11" spans="1:7">
      <c r="A11" s="1"/>
      <c r="B11" s="1" t="s">
        <v>76</v>
      </c>
      <c r="C11" s="2" t="s">
        <v>58</v>
      </c>
      <c r="D11" s="1" t="s">
        <v>77</v>
      </c>
      <c r="E11" s="1" t="s">
        <v>78</v>
      </c>
      <c r="F11" s="1"/>
      <c r="G11" s="1"/>
    </row>
    <row r="12" spans="1:7">
      <c r="A12" s="1"/>
      <c r="B12" s="1" t="s">
        <v>79</v>
      </c>
      <c r="C12" s="2" t="s">
        <v>80</v>
      </c>
      <c r="D12" s="1" t="s">
        <v>81</v>
      </c>
      <c r="E12" s="1" t="s">
        <v>82</v>
      </c>
      <c r="F12" s="1"/>
      <c r="G12" s="1"/>
    </row>
    <row r="13" spans="1:7">
      <c r="A13" s="1"/>
      <c r="B13" s="1" t="s">
        <v>83</v>
      </c>
      <c r="C13" s="2" t="s">
        <v>84</v>
      </c>
      <c r="D13" s="1" t="s">
        <v>85</v>
      </c>
      <c r="E13" s="2" t="s">
        <v>86</v>
      </c>
      <c r="F13" s="1"/>
      <c r="G13" s="1"/>
    </row>
    <row r="14" spans="1:7">
      <c r="A14" s="1"/>
      <c r="B14" s="1" t="s">
        <v>87</v>
      </c>
      <c r="C14" s="2" t="s">
        <v>58</v>
      </c>
      <c r="D14" s="1" t="s">
        <v>88</v>
      </c>
      <c r="E14" s="1" t="s">
        <v>89</v>
      </c>
      <c r="F14" s="1"/>
      <c r="G14" s="1"/>
    </row>
    <row r="15" spans="1:7">
      <c r="A15" s="1"/>
      <c r="B15" s="1" t="s">
        <v>90</v>
      </c>
      <c r="C15" s="1"/>
      <c r="D15" s="1" t="s">
        <v>91</v>
      </c>
      <c r="E15" s="1"/>
      <c r="F15" s="1"/>
      <c r="G15" s="1"/>
    </row>
    <row r="16" spans="1:7">
      <c r="A16" s="1"/>
      <c r="B16" s="1" t="s">
        <v>92</v>
      </c>
      <c r="C16" s="2" t="s">
        <v>58</v>
      </c>
      <c r="D16" s="1" t="s">
        <v>93</v>
      </c>
      <c r="E16" s="1" t="s">
        <v>94</v>
      </c>
      <c r="F16" s="1"/>
      <c r="G16" s="1"/>
    </row>
    <row r="17" spans="1:7">
      <c r="A17" s="1"/>
      <c r="B17" s="1" t="s">
        <v>95</v>
      </c>
      <c r="C17" s="2" t="s">
        <v>69</v>
      </c>
      <c r="D17" s="1" t="s">
        <v>96</v>
      </c>
      <c r="E17" s="2" t="s">
        <v>97</v>
      </c>
      <c r="F17" s="1"/>
      <c r="G17" s="1"/>
    </row>
    <row r="18" spans="1:7">
      <c r="A18" s="2" t="s">
        <v>98</v>
      </c>
      <c r="B18" s="1" t="s">
        <v>99</v>
      </c>
      <c r="C18" s="1"/>
      <c r="D18" s="1" t="s">
        <v>100</v>
      </c>
      <c r="E18" s="1" t="s">
        <v>101</v>
      </c>
      <c r="F18" s="1"/>
      <c r="G18" s="1"/>
    </row>
    <row r="19" spans="1:7">
      <c r="A19" s="1"/>
      <c r="B19" s="1" t="s">
        <v>102</v>
      </c>
      <c r="C19" s="2" t="s">
        <v>103</v>
      </c>
      <c r="D19" s="1" t="s">
        <v>104</v>
      </c>
      <c r="E19" s="2" t="s">
        <v>105</v>
      </c>
      <c r="F19" s="1"/>
      <c r="G19" s="1"/>
    </row>
    <row r="20" spans="1:7">
      <c r="A20" s="1"/>
      <c r="B20" s="1" t="s">
        <v>106</v>
      </c>
      <c r="C20" s="2" t="s">
        <v>107</v>
      </c>
      <c r="D20" s="1" t="s">
        <v>108</v>
      </c>
      <c r="E20" s="1" t="s">
        <v>109</v>
      </c>
      <c r="F20" s="1"/>
      <c r="G20" s="1"/>
    </row>
    <row r="21" spans="1:7">
      <c r="A21" s="1"/>
      <c r="B21" s="1" t="s">
        <v>110</v>
      </c>
      <c r="C21" s="2" t="s">
        <v>58</v>
      </c>
      <c r="D21" s="1" t="s">
        <v>111</v>
      </c>
      <c r="E21" s="1" t="s">
        <v>112</v>
      </c>
      <c r="F21" s="1"/>
      <c r="G21" s="1"/>
    </row>
    <row r="22" spans="1:7">
      <c r="A22" s="1"/>
      <c r="B22" s="1" t="s">
        <v>113</v>
      </c>
      <c r="C22" s="2" t="s">
        <v>114</v>
      </c>
      <c r="D22" s="1" t="s">
        <v>115</v>
      </c>
      <c r="E22" s="1" t="s">
        <v>116</v>
      </c>
      <c r="F22" s="1"/>
      <c r="G22" s="1"/>
    </row>
    <row r="23" spans="1:7">
      <c r="A23" s="1"/>
      <c r="B23" s="1" t="s">
        <v>117</v>
      </c>
      <c r="C23" s="2" t="s">
        <v>58</v>
      </c>
      <c r="D23" s="1" t="s">
        <v>118</v>
      </c>
      <c r="E23" s="2" t="s">
        <v>119</v>
      </c>
      <c r="F23" s="1"/>
      <c r="G23" s="1"/>
    </row>
    <row r="24" spans="1:7">
      <c r="A24" s="1"/>
      <c r="B24" s="1"/>
      <c r="C24" s="1"/>
      <c r="D24" s="1"/>
      <c r="E24" s="1"/>
      <c r="F24" s="1"/>
      <c r="G24" s="1"/>
    </row>
    <row r="25" spans="1:7">
      <c r="A25" s="1"/>
      <c r="B25" s="1"/>
      <c r="C25" s="1"/>
      <c r="D25" s="1"/>
      <c r="E25" s="1"/>
      <c r="F25" s="1"/>
      <c r="G25" s="1"/>
    </row>
    <row r="26" spans="1:7">
      <c r="A26" s="1"/>
      <c r="B26" s="2"/>
      <c r="C26" s="2"/>
      <c r="D26" s="2"/>
      <c r="E26" s="1"/>
      <c r="F26" s="2" t="s">
        <v>120</v>
      </c>
      <c r="G26" s="1"/>
    </row>
    <row r="27" spans="1:5">
      <c r="A27" s="3" t="s">
        <v>38</v>
      </c>
      <c r="B27" s="1" t="s">
        <v>39</v>
      </c>
      <c r="C27" s="1"/>
      <c r="D27" s="1" t="s">
        <v>41</v>
      </c>
      <c r="E27" s="2" t="s">
        <v>42</v>
      </c>
    </row>
    <row r="28" spans="1:4">
      <c r="A28" s="2" t="s">
        <v>121</v>
      </c>
      <c r="B28" s="3"/>
      <c r="C28" s="3"/>
      <c r="D28" s="3"/>
    </row>
    <row r="29" spans="1:4">
      <c r="A29" s="1"/>
      <c r="B29" s="3"/>
      <c r="C29" s="3"/>
      <c r="D29" s="3"/>
    </row>
    <row r="30" spans="1:4">
      <c r="A30" s="1"/>
      <c r="B30" s="3"/>
      <c r="C30" s="3"/>
      <c r="D30" s="3"/>
    </row>
    <row r="31" spans="1:2">
      <c r="A31" s="1"/>
      <c r="B31" s="3"/>
    </row>
    <row r="32" spans="2:2">
      <c r="B32" s="3"/>
    </row>
    <row r="33" spans="2:2">
      <c r="B33" s="3"/>
    </row>
    <row r="34" spans="1:2">
      <c r="A34" t="s">
        <v>122</v>
      </c>
      <c r="B34" t="s">
        <v>123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28:A31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WWO_wpscloud_20250409201303-77eb418d75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变量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Wenfar</dc:creator>
  <cp:lastModifiedBy>WPS_1678684605</cp:lastModifiedBy>
  <dcterms:created xsi:type="dcterms:W3CDTF">2023-05-15T19:15:00Z</dcterms:created>
  <dcterms:modified xsi:type="dcterms:W3CDTF">2026-01-13T11:41:13Z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0DD7D26AE98C42EDB8C4A2C914B8F73F_13</vt:lpwstr>
  </property>
</Properties>
</file>